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aii039\Downloads\"/>
    </mc:Choice>
  </mc:AlternateContent>
  <xr:revisionPtr revIDLastSave="0" documentId="13_ncr:1_{6A61A7C9-6571-45E3-AE57-5A18433328FF}" xr6:coauthVersionLast="47" xr6:coauthVersionMax="47" xr10:uidLastSave="{00000000-0000-0000-0000-000000000000}"/>
  <bookViews>
    <workbookView xWindow="-120" yWindow="150" windowWidth="29040" windowHeight="15570" xr2:uid="{21043629-EBF2-4BD3-BB16-45E4250A8746}"/>
  </bookViews>
  <sheets>
    <sheet name="Customer" sheetId="3" r:id="rId1"/>
    <sheet name="Requirements" sheetId="1" r:id="rId2"/>
    <sheet name="References" sheetId="2" r:id="rId3"/>
    <sheet name="Quote" sheetId="4" state="hidden" r:id="rId4"/>
    <sheet name="Quote_Breakdown" sheetId="5" state="hidden" r:id="rId5"/>
  </sheets>
  <definedNames>
    <definedName name="_xlnm._FilterDatabase" localSheetId="2" hidden="1">References!$H$1:$J$8</definedName>
    <definedName name="_xlnm.Print_Area" localSheetId="3">Quote!$B$1:$E$15</definedName>
    <definedName name="_xlnm.Print_Area" localSheetId="4">Quote_Breakdown!$B$1:$D$2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2" i="3"/>
  <c r="F46" i="1" l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G6" i="3"/>
  <c r="O105" i="1" l="1"/>
  <c r="N105" i="1"/>
  <c r="O104" i="1"/>
  <c r="N104" i="1"/>
  <c r="P104" i="1" s="1"/>
  <c r="O103" i="1"/>
  <c r="N103" i="1"/>
  <c r="O102" i="1"/>
  <c r="N102" i="1"/>
  <c r="P102" i="1" s="1"/>
  <c r="O101" i="1"/>
  <c r="N101" i="1"/>
  <c r="O100" i="1"/>
  <c r="N100" i="1"/>
  <c r="P100" i="1" s="1"/>
  <c r="O99" i="1"/>
  <c r="N99" i="1"/>
  <c r="O98" i="1"/>
  <c r="N98" i="1"/>
  <c r="P98" i="1" s="1"/>
  <c r="O97" i="1"/>
  <c r="N97" i="1"/>
  <c r="O96" i="1"/>
  <c r="N96" i="1"/>
  <c r="P96" i="1" s="1"/>
  <c r="O95" i="1"/>
  <c r="N95" i="1"/>
  <c r="O94" i="1"/>
  <c r="N94" i="1"/>
  <c r="P94" i="1" s="1"/>
  <c r="O93" i="1"/>
  <c r="N93" i="1"/>
  <c r="O92" i="1"/>
  <c r="N92" i="1"/>
  <c r="P92" i="1" s="1"/>
  <c r="O91" i="1"/>
  <c r="N91" i="1"/>
  <c r="O90" i="1"/>
  <c r="N90" i="1"/>
  <c r="P90" i="1" s="1"/>
  <c r="O89" i="1"/>
  <c r="N89" i="1"/>
  <c r="O88" i="1"/>
  <c r="N88" i="1"/>
  <c r="P88" i="1" s="1"/>
  <c r="O87" i="1"/>
  <c r="N87" i="1"/>
  <c r="O86" i="1"/>
  <c r="N86" i="1"/>
  <c r="P86" i="1" s="1"/>
  <c r="O85" i="1"/>
  <c r="N85" i="1"/>
  <c r="O84" i="1"/>
  <c r="N84" i="1"/>
  <c r="P84" i="1" s="1"/>
  <c r="O83" i="1"/>
  <c r="N83" i="1"/>
  <c r="O82" i="1"/>
  <c r="N82" i="1"/>
  <c r="P82" i="1" s="1"/>
  <c r="O81" i="1"/>
  <c r="N81" i="1"/>
  <c r="O80" i="1"/>
  <c r="N80" i="1"/>
  <c r="P80" i="1" s="1"/>
  <c r="O79" i="1"/>
  <c r="N79" i="1"/>
  <c r="O78" i="1"/>
  <c r="N78" i="1"/>
  <c r="P78" i="1" s="1"/>
  <c r="O77" i="1"/>
  <c r="N77" i="1"/>
  <c r="O76" i="1"/>
  <c r="N76" i="1"/>
  <c r="P76" i="1" s="1"/>
  <c r="O75" i="1"/>
  <c r="N75" i="1"/>
  <c r="O74" i="1"/>
  <c r="N74" i="1"/>
  <c r="P74" i="1" s="1"/>
  <c r="O73" i="1"/>
  <c r="N73" i="1"/>
  <c r="O72" i="1"/>
  <c r="N72" i="1"/>
  <c r="P72" i="1" s="1"/>
  <c r="O71" i="1"/>
  <c r="N71" i="1"/>
  <c r="O70" i="1"/>
  <c r="N70" i="1"/>
  <c r="P70" i="1" s="1"/>
  <c r="O69" i="1"/>
  <c r="N69" i="1"/>
  <c r="O68" i="1"/>
  <c r="N68" i="1"/>
  <c r="P68" i="1" s="1"/>
  <c r="O67" i="1"/>
  <c r="N67" i="1"/>
  <c r="O66" i="1"/>
  <c r="N66" i="1"/>
  <c r="P66" i="1" s="1"/>
  <c r="O65" i="1"/>
  <c r="N65" i="1"/>
  <c r="O64" i="1"/>
  <c r="N64" i="1"/>
  <c r="P64" i="1" s="1"/>
  <c r="O63" i="1"/>
  <c r="N63" i="1"/>
  <c r="O62" i="1"/>
  <c r="N62" i="1"/>
  <c r="P62" i="1" s="1"/>
  <c r="O61" i="1"/>
  <c r="N61" i="1"/>
  <c r="O60" i="1"/>
  <c r="N60" i="1"/>
  <c r="P60" i="1" s="1"/>
  <c r="O59" i="1"/>
  <c r="N59" i="1"/>
  <c r="O58" i="1"/>
  <c r="N58" i="1"/>
  <c r="P58" i="1" s="1"/>
  <c r="O57" i="1"/>
  <c r="N57" i="1"/>
  <c r="O56" i="1"/>
  <c r="N56" i="1"/>
  <c r="P56" i="1" s="1"/>
  <c r="O55" i="1"/>
  <c r="N55" i="1"/>
  <c r="O54" i="1"/>
  <c r="N54" i="1"/>
  <c r="P54" i="1" s="1"/>
  <c r="O53" i="1"/>
  <c r="N53" i="1"/>
  <c r="O52" i="1"/>
  <c r="N52" i="1"/>
  <c r="P52" i="1" s="1"/>
  <c r="O51" i="1"/>
  <c r="N51" i="1"/>
  <c r="O50" i="1"/>
  <c r="N50" i="1"/>
  <c r="P50" i="1" s="1"/>
  <c r="O49" i="1"/>
  <c r="N49" i="1"/>
  <c r="O48" i="1"/>
  <c r="N48" i="1"/>
  <c r="P48" i="1" s="1"/>
  <c r="O47" i="1"/>
  <c r="N47" i="1"/>
  <c r="O46" i="1"/>
  <c r="N46" i="1"/>
  <c r="P46" i="1" s="1"/>
  <c r="O45" i="1"/>
  <c r="N45" i="1"/>
  <c r="O44" i="1"/>
  <c r="N44" i="1"/>
  <c r="P44" i="1" s="1"/>
  <c r="O43" i="1"/>
  <c r="N43" i="1"/>
  <c r="O42" i="1"/>
  <c r="N42" i="1"/>
  <c r="P42" i="1" s="1"/>
  <c r="O41" i="1"/>
  <c r="N41" i="1"/>
  <c r="O40" i="1"/>
  <c r="N40" i="1"/>
  <c r="P40" i="1" s="1"/>
  <c r="O39" i="1"/>
  <c r="N39" i="1"/>
  <c r="O38" i="1"/>
  <c r="N38" i="1"/>
  <c r="P38" i="1" s="1"/>
  <c r="O37" i="1"/>
  <c r="N37" i="1"/>
  <c r="O36" i="1"/>
  <c r="N36" i="1"/>
  <c r="P36" i="1" s="1"/>
  <c r="O35" i="1"/>
  <c r="N35" i="1"/>
  <c r="O34" i="1"/>
  <c r="N34" i="1"/>
  <c r="P34" i="1" s="1"/>
  <c r="O33" i="1"/>
  <c r="N33" i="1"/>
  <c r="O32" i="1"/>
  <c r="N32" i="1"/>
  <c r="P32" i="1" s="1"/>
  <c r="O31" i="1"/>
  <c r="N31" i="1"/>
  <c r="O30" i="1"/>
  <c r="N30" i="1"/>
  <c r="P30" i="1" s="1"/>
  <c r="O29" i="1"/>
  <c r="N29" i="1"/>
  <c r="O28" i="1"/>
  <c r="N28" i="1"/>
  <c r="P28" i="1" s="1"/>
  <c r="O27" i="1"/>
  <c r="N27" i="1"/>
  <c r="O26" i="1"/>
  <c r="N26" i="1"/>
  <c r="O25" i="1"/>
  <c r="N25" i="1"/>
  <c r="O24" i="1"/>
  <c r="N24" i="1"/>
  <c r="P24" i="1" s="1"/>
  <c r="O23" i="1"/>
  <c r="N23" i="1"/>
  <c r="O22" i="1"/>
  <c r="N22" i="1"/>
  <c r="O21" i="1"/>
  <c r="N21" i="1"/>
  <c r="O20" i="1"/>
  <c r="N20" i="1"/>
  <c r="P20" i="1" s="1"/>
  <c r="O19" i="1"/>
  <c r="N19" i="1"/>
  <c r="O18" i="1"/>
  <c r="N18" i="1"/>
  <c r="P18" i="1" s="1"/>
  <c r="O17" i="1"/>
  <c r="N17" i="1"/>
  <c r="O16" i="1"/>
  <c r="N16" i="1"/>
  <c r="P16" i="1" s="1"/>
  <c r="O15" i="1"/>
  <c r="N15" i="1"/>
  <c r="O14" i="1"/>
  <c r="N14" i="1"/>
  <c r="P14" i="1" s="1"/>
  <c r="O13" i="1"/>
  <c r="N13" i="1"/>
  <c r="O12" i="1"/>
  <c r="N12" i="1"/>
  <c r="P12" i="1" s="1"/>
  <c r="O11" i="1"/>
  <c r="N11" i="1"/>
  <c r="O10" i="1"/>
  <c r="N10" i="1"/>
  <c r="P10" i="1" s="1"/>
  <c r="O9" i="1"/>
  <c r="N9" i="1"/>
  <c r="O8" i="1"/>
  <c r="N8" i="1"/>
  <c r="N107" i="1" s="1"/>
  <c r="N108" i="1" s="1"/>
  <c r="O7" i="1"/>
  <c r="N7" i="1"/>
  <c r="M10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7" i="1"/>
  <c r="B8" i="1" s="1"/>
  <c r="B9" i="1" s="1"/>
  <c r="B10" i="1" s="1"/>
  <c r="B11" i="1" s="1"/>
  <c r="B12" i="1" s="1"/>
  <c r="B13" i="1" s="1"/>
  <c r="B14" i="1" s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G7" i="1" s="1"/>
  <c r="G46" i="1"/>
  <c r="E46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P7" i="1" l="1"/>
  <c r="P11" i="1"/>
  <c r="P15" i="1"/>
  <c r="P19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23" i="1"/>
  <c r="F12" i="1" s="1"/>
  <c r="P25" i="1"/>
  <c r="P9" i="1"/>
  <c r="F8" i="1" s="1"/>
  <c r="P13" i="1"/>
  <c r="F11" i="1" s="1"/>
  <c r="P17" i="1"/>
  <c r="F10" i="1" s="1"/>
  <c r="P21" i="1"/>
  <c r="P27" i="1"/>
  <c r="F14" i="1" s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22" i="1"/>
  <c r="F9" i="1" s="1"/>
  <c r="P26" i="1"/>
  <c r="F13" i="1" s="1"/>
  <c r="P8" i="1"/>
  <c r="B2" i="1"/>
  <c r="O107" i="1"/>
  <c r="O108" i="1" s="1"/>
  <c r="G9" i="1"/>
  <c r="G13" i="1"/>
  <c r="G11" i="1"/>
  <c r="G8" i="1"/>
  <c r="G10" i="1"/>
  <c r="G12" i="1"/>
  <c r="D4" i="1"/>
  <c r="P107" i="1" l="1"/>
  <c r="F7" i="1"/>
  <c r="F4" i="1" s="1"/>
  <c r="G4" i="1"/>
  <c r="D2" i="1" l="1"/>
</calcChain>
</file>

<file path=xl/sharedStrings.xml><?xml version="1.0" encoding="utf-8"?>
<sst xmlns="http://schemas.openxmlformats.org/spreadsheetml/2006/main" count="123" uniqueCount="102">
  <si>
    <t>Work Item</t>
  </si>
  <si>
    <t>Days</t>
  </si>
  <si>
    <t>Material (£)</t>
  </si>
  <si>
    <t>Job</t>
  </si>
  <si>
    <t>Material</t>
  </si>
  <si>
    <t>(£)</t>
  </si>
  <si>
    <t>Footings</t>
  </si>
  <si>
    <t>Block work</t>
  </si>
  <si>
    <t>Window</t>
  </si>
  <si>
    <t>Roof</t>
  </si>
  <si>
    <t>Steals</t>
  </si>
  <si>
    <t>Lay floor</t>
  </si>
  <si>
    <t>∑ (£)</t>
  </si>
  <si>
    <t>Margin (%)</t>
  </si>
  <si>
    <t>Totals:</t>
  </si>
  <si>
    <t>Order</t>
  </si>
  <si>
    <t>Dig out</t>
  </si>
  <si>
    <t>poor</t>
  </si>
  <si>
    <t>cavity</t>
  </si>
  <si>
    <t>insulation</t>
  </si>
  <si>
    <t>brickwork</t>
  </si>
  <si>
    <t>sizing</t>
  </si>
  <si>
    <t>lintal</t>
  </si>
  <si>
    <t>install</t>
  </si>
  <si>
    <t>lay membrain</t>
  </si>
  <si>
    <t>sealing</t>
  </si>
  <si>
    <t>facias and guttering</t>
  </si>
  <si>
    <t>padding</t>
  </si>
  <si>
    <t>Wall removal</t>
  </si>
  <si>
    <t>Acroprops</t>
  </si>
  <si>
    <t>insert</t>
  </si>
  <si>
    <t>mix and poor concrete</t>
  </si>
  <si>
    <t>Plastering</t>
  </si>
  <si>
    <t>Dot and dab boards</t>
  </si>
  <si>
    <t>ceiling boards</t>
  </si>
  <si>
    <t>skim</t>
  </si>
  <si>
    <t>Builders</t>
  </si>
  <si>
    <t>concrete</t>
  </si>
  <si>
    <t>cinder blocks</t>
  </si>
  <si>
    <t>Kingspan</t>
  </si>
  <si>
    <t>Bricks</t>
  </si>
  <si>
    <t>lintals</t>
  </si>
  <si>
    <t>cement</t>
  </si>
  <si>
    <t>Timber</t>
  </si>
  <si>
    <t>beam work</t>
  </si>
  <si>
    <t>membrain</t>
  </si>
  <si>
    <t>steals</t>
  </si>
  <si>
    <t>Equipment hire</t>
  </si>
  <si>
    <t>Quote</t>
  </si>
  <si>
    <t>boards</t>
  </si>
  <si>
    <t>dot and dab</t>
  </si>
  <si>
    <t>plaster</t>
  </si>
  <si>
    <t>First Name</t>
  </si>
  <si>
    <t>Last Name</t>
  </si>
  <si>
    <t>Contact Tel:</t>
  </si>
  <si>
    <t>Contact email:</t>
  </si>
  <si>
    <t>City</t>
  </si>
  <si>
    <t>Postcode</t>
  </si>
  <si>
    <t>No. &amp; Street</t>
  </si>
  <si>
    <t>Town</t>
  </si>
  <si>
    <t>Derby</t>
  </si>
  <si>
    <t>SPD Builders</t>
  </si>
  <si>
    <t>spdbuilders@outlook.com</t>
  </si>
  <si>
    <t>07401 716294</t>
  </si>
  <si>
    <t>11 Jefferson Place</t>
  </si>
  <si>
    <t>Alvaston</t>
  </si>
  <si>
    <t>DE24 8PQ</t>
  </si>
  <si>
    <t>Quotation</t>
  </si>
  <si>
    <t>Ref</t>
  </si>
  <si>
    <t>Date</t>
  </si>
  <si>
    <t>Schedule of work</t>
  </si>
  <si>
    <t>Client</t>
  </si>
  <si>
    <t>Reference</t>
  </si>
  <si>
    <t>Tender</t>
  </si>
  <si>
    <t>%</t>
  </si>
  <si>
    <t>Personal Comments</t>
  </si>
  <si>
    <t>Client Comments</t>
  </si>
  <si>
    <t>Contingency</t>
  </si>
  <si>
    <t>managed overflow of work</t>
  </si>
  <si>
    <t>Total</t>
  </si>
  <si>
    <t>Breakdown of required work</t>
  </si>
  <si>
    <t>Payment</t>
  </si>
  <si>
    <t>Builders Day Rate</t>
  </si>
  <si>
    <t>Labourers Day Rate</t>
  </si>
  <si>
    <t>B</t>
  </si>
  <si>
    <t>L</t>
  </si>
  <si>
    <t>B Days</t>
  </si>
  <si>
    <t>L Days</t>
  </si>
  <si>
    <t>Average</t>
  </si>
  <si>
    <t>30 years of industry-led experience</t>
  </si>
  <si>
    <t>Sort Code</t>
  </si>
  <si>
    <t>Account</t>
  </si>
  <si>
    <t>Bank</t>
  </si>
  <si>
    <t>Lloyds Bank</t>
  </si>
  <si>
    <t>10-20-30</t>
  </si>
  <si>
    <r>
      <rPr>
        <sz val="11"/>
        <color rgb="FF002060"/>
        <rFont val="Aptos Narrow"/>
        <family val="2"/>
        <scheme val="minor"/>
      </rPr>
      <t>Quote protected by '</t>
    </r>
    <r>
      <rPr>
        <b/>
        <sz val="11"/>
        <color rgb="FF002060"/>
        <rFont val="Aptos Narrow"/>
        <family val="2"/>
        <scheme val="minor"/>
      </rPr>
      <t>Price Promise</t>
    </r>
    <r>
      <rPr>
        <sz val="11"/>
        <color rgb="FF002060"/>
        <rFont val="Aptos Narrow"/>
        <family val="2"/>
        <scheme val="minor"/>
      </rPr>
      <t>'</t>
    </r>
  </si>
  <si>
    <t>Labour (£)</t>
  </si>
  <si>
    <t>Address 1</t>
  </si>
  <si>
    <t>Address 2</t>
  </si>
  <si>
    <t>PostCode</t>
  </si>
  <si>
    <t>Tel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</si>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</sst>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£&quot;#,##0"/>
    <numFmt numFmtId="165" formatCode="0.0%"/>
    <numFmt numFmtId="166" formatCode="0\ &quot;Days&quot;"/>
    <numFmt numFmtId="167" formatCode="&quot;£&quot;#,##0.00"/>
    <numFmt numFmtId="168" formatCode="&quot;Quote - &quot;\&amp;#"/>
    <numFmt numFmtId="169" formatCode="00"/>
    <numFmt numFmtId="170" formatCode="0\ &quot; Weeks&quot;"/>
    <numFmt numFmtId="171" formatCode="dd/mm/yyyy"/>
  </numFmts>
  <fonts count="1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4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2060"/>
      <name val="Aptos Narrow"/>
      <family val="2"/>
      <scheme val="minor"/>
    </font>
    <font>
      <i/>
      <sz val="11"/>
      <color rgb="FF00206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1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rgb="FF7030A0"/>
      </bottom>
      <diagonal/>
    </border>
    <border>
      <left style="medium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164" fontId="1" fillId="2" borderId="1" xfId="0" applyNumberFormat="1" applyFont="1" applyFill="1" applyBorder="1" applyAlignment="1">
      <alignment horizontal="center"/>
    </xf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4" fontId="0" fillId="3" borderId="2" xfId="0" applyNumberFormat="1" applyFill="1" applyBorder="1"/>
    <xf numFmtId="164" fontId="0" fillId="3" borderId="3" xfId="0" applyNumberFormat="1" applyFill="1" applyBorder="1"/>
    <xf numFmtId="164" fontId="0" fillId="3" borderId="4" xfId="0" applyNumberFormat="1" applyFill="1" applyBorder="1"/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164" fontId="0" fillId="6" borderId="2" xfId="0" applyNumberFormat="1" applyFill="1" applyBorder="1" applyProtection="1">
      <protection locked="0"/>
    </xf>
    <xf numFmtId="164" fontId="0" fillId="6" borderId="3" xfId="0" applyNumberFormat="1" applyFill="1" applyBorder="1" applyProtection="1">
      <protection locked="0"/>
    </xf>
    <xf numFmtId="164" fontId="0" fillId="6" borderId="4" xfId="0" applyNumberFormat="1" applyFill="1" applyBorder="1" applyProtection="1">
      <protection locked="0"/>
    </xf>
    <xf numFmtId="165" fontId="0" fillId="0" borderId="0" xfId="0" applyNumberFormat="1"/>
    <xf numFmtId="165" fontId="1" fillId="2" borderId="1" xfId="0" applyNumberFormat="1" applyFont="1" applyFill="1" applyBorder="1" applyAlignment="1">
      <alignment horizontal="center"/>
    </xf>
    <xf numFmtId="165" fontId="0" fillId="0" borderId="2" xfId="0" applyNumberFormat="1" applyBorder="1" applyProtection="1">
      <protection locked="0"/>
    </xf>
    <xf numFmtId="165" fontId="0" fillId="0" borderId="3" xfId="0" applyNumberFormat="1" applyBorder="1" applyProtection="1">
      <protection locked="0"/>
    </xf>
    <xf numFmtId="165" fontId="0" fillId="0" borderId="4" xfId="0" applyNumberFormat="1" applyBorder="1" applyProtection="1">
      <protection locked="0"/>
    </xf>
    <xf numFmtId="0" fontId="5" fillId="0" borderId="0" xfId="0" applyFont="1"/>
    <xf numFmtId="0" fontId="5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165" fontId="5" fillId="0" borderId="0" xfId="0" applyNumberFormat="1" applyFont="1" applyAlignment="1">
      <alignment vertical="center"/>
    </xf>
    <xf numFmtId="0" fontId="0" fillId="0" borderId="11" xfId="0" applyBorder="1"/>
    <xf numFmtId="0" fontId="0" fillId="0" borderId="11" xfId="0" applyBorder="1" applyProtection="1">
      <protection locked="0"/>
    </xf>
    <xf numFmtId="0" fontId="0" fillId="5" borderId="11" xfId="0" applyFill="1" applyBorder="1" applyAlignment="1">
      <alignment horizontal="center"/>
    </xf>
    <xf numFmtId="164" fontId="0" fillId="3" borderId="11" xfId="0" applyNumberFormat="1" applyFill="1" applyBorder="1"/>
    <xf numFmtId="0" fontId="0" fillId="5" borderId="6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4" fillId="9" borderId="12" xfId="0" applyFont="1" applyFill="1" applyBorder="1" applyAlignment="1">
      <alignment vertical="center"/>
    </xf>
    <xf numFmtId="0" fontId="8" fillId="10" borderId="1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/>
    </xf>
    <xf numFmtId="0" fontId="4" fillId="2" borderId="1" xfId="0" applyFont="1" applyFill="1" applyBorder="1" applyAlignment="1">
      <alignment vertical="center"/>
    </xf>
    <xf numFmtId="0" fontId="5" fillId="6" borderId="1" xfId="0" applyFont="1" applyFill="1" applyBorder="1" applyAlignment="1" applyProtection="1">
      <alignment vertical="center"/>
      <protection locked="0"/>
    </xf>
    <xf numFmtId="49" fontId="5" fillId="6" borderId="1" xfId="0" applyNumberFormat="1" applyFont="1" applyFill="1" applyBorder="1" applyAlignment="1" applyProtection="1">
      <alignment vertical="center"/>
      <protection locked="0"/>
    </xf>
    <xf numFmtId="0" fontId="10" fillId="6" borderId="1" xfId="1" applyFont="1" applyFill="1" applyBorder="1" applyAlignment="1" applyProtection="1">
      <alignment vertical="center"/>
      <protection locked="0"/>
    </xf>
    <xf numFmtId="169" fontId="7" fillId="11" borderId="13" xfId="0" applyNumberFormat="1" applyFont="1" applyFill="1" applyBorder="1" applyAlignment="1" applyProtection="1">
      <alignment horizontal="center"/>
      <protection locked="0"/>
    </xf>
    <xf numFmtId="0" fontId="3" fillId="13" borderId="0" xfId="0" applyFont="1" applyFill="1"/>
    <xf numFmtId="0" fontId="1" fillId="13" borderId="0" xfId="0" applyFont="1" applyFill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4" xfId="0" applyBorder="1" applyProtection="1">
      <protection locked="0"/>
    </xf>
    <xf numFmtId="0" fontId="3" fillId="14" borderId="23" xfId="0" applyFont="1" applyFill="1" applyBorder="1" applyAlignment="1">
      <alignment horizontal="center"/>
    </xf>
    <xf numFmtId="0" fontId="3" fillId="14" borderId="21" xfId="0" applyFont="1" applyFill="1" applyBorder="1" applyAlignment="1">
      <alignment horizontal="center"/>
    </xf>
    <xf numFmtId="0" fontId="3" fillId="14" borderId="22" xfId="0" applyFont="1" applyFill="1" applyBorder="1" applyAlignment="1">
      <alignment horizontal="center"/>
    </xf>
    <xf numFmtId="164" fontId="4" fillId="7" borderId="10" xfId="0" applyNumberFormat="1" applyFont="1" applyFill="1" applyBorder="1" applyAlignment="1">
      <alignment vertical="center"/>
    </xf>
    <xf numFmtId="0" fontId="0" fillId="12" borderId="2" xfId="0" applyFill="1" applyBorder="1" applyProtection="1">
      <protection locked="0"/>
    </xf>
    <xf numFmtId="0" fontId="0" fillId="12" borderId="3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4" xfId="0" applyFill="1" applyBorder="1" applyProtection="1">
      <protection locked="0"/>
    </xf>
    <xf numFmtId="0" fontId="15" fillId="12" borderId="1" xfId="0" applyFont="1" applyFill="1" applyBorder="1" applyAlignment="1">
      <alignment horizontal="center"/>
    </xf>
    <xf numFmtId="0" fontId="0" fillId="16" borderId="6" xfId="0" applyFill="1" applyBorder="1" applyAlignment="1" applyProtection="1">
      <alignment horizontal="center"/>
      <protection locked="0"/>
    </xf>
    <xf numFmtId="0" fontId="0" fillId="16" borderId="7" xfId="0" applyFill="1" applyBorder="1" applyAlignment="1" applyProtection="1">
      <alignment horizontal="center"/>
      <protection locked="0"/>
    </xf>
    <xf numFmtId="164" fontId="0" fillId="5" borderId="6" xfId="0" applyNumberFormat="1" applyFill="1" applyBorder="1" applyAlignment="1" applyProtection="1">
      <alignment horizontal="center"/>
      <protection locked="0"/>
    </xf>
    <xf numFmtId="164" fontId="1" fillId="4" borderId="5" xfId="0" applyNumberFormat="1" applyFont="1" applyFill="1" applyBorder="1" applyAlignment="1">
      <alignment horizontal="center"/>
    </xf>
    <xf numFmtId="164" fontId="0" fillId="5" borderId="7" xfId="0" applyNumberFormat="1" applyFill="1" applyBorder="1" applyAlignment="1" applyProtection="1">
      <alignment horizontal="center"/>
      <protection locked="0"/>
    </xf>
    <xf numFmtId="0" fontId="2" fillId="0" borderId="29" xfId="0" applyFont="1" applyBorder="1"/>
    <xf numFmtId="0" fontId="2" fillId="0" borderId="29" xfId="0" applyFont="1" applyBorder="1" applyAlignment="1">
      <alignment horizontal="center"/>
    </xf>
    <xf numFmtId="164" fontId="2" fillId="0" borderId="29" xfId="0" applyNumberFormat="1" applyFont="1" applyBorder="1"/>
    <xf numFmtId="0" fontId="2" fillId="0" borderId="28" xfId="0" applyFont="1" applyBorder="1"/>
    <xf numFmtId="0" fontId="2" fillId="0" borderId="28" xfId="0" applyFont="1" applyBorder="1" applyAlignment="1">
      <alignment horizontal="center"/>
    </xf>
    <xf numFmtId="164" fontId="2" fillId="0" borderId="28" xfId="0" applyNumberFormat="1" applyFont="1" applyBorder="1"/>
    <xf numFmtId="0" fontId="3" fillId="13" borderId="14" xfId="0" applyFont="1" applyFill="1" applyBorder="1"/>
    <xf numFmtId="0" fontId="0" fillId="0" borderId="14" xfId="0" applyBorder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0" fontId="16" fillId="0" borderId="0" xfId="0" applyFont="1" applyAlignment="1">
      <alignment vertical="center"/>
    </xf>
    <xf numFmtId="14" fontId="7" fillId="11" borderId="13" xfId="0" applyNumberFormat="1" applyFont="1" applyFill="1" applyBorder="1" applyAlignment="1" applyProtection="1">
      <alignment horizontal="center"/>
      <protection locked="0"/>
    </xf>
    <xf numFmtId="0" fontId="14" fillId="0" borderId="0" xfId="0" applyNumberFormat="1" applyFont="1"/>
    <xf numFmtId="0" fontId="0" fillId="0" borderId="0" xfId="0" applyNumberFormat="1" applyFont="1"/>
    <xf numFmtId="0" fontId="2" fillId="0" borderId="0" xfId="0" applyNumberFormat="1" applyFont="1"/>
    <xf numFmtId="0" fontId="0" fillId="0" borderId="0" xfId="0" applyNumberFormat="1"/>
    <xf numFmtId="0" fontId="2" fillId="0" borderId="0" xfId="0" applyNumberFormat="1" applyFont="1" applyAlignment="1">
      <alignment horizontal="right"/>
    </xf>
    <xf numFmtId="0" fontId="0" fillId="0" borderId="0" xfId="0" applyNumberFormat="1" applyAlignment="1">
      <alignment horizontal="right"/>
    </xf>
    <xf numFmtId="0" fontId="9" fillId="0" borderId="0" xfId="1" applyNumberFormat="1" applyAlignment="1">
      <alignment horizontal="right"/>
    </xf>
    <xf numFmtId="0" fontId="0" fillId="0" borderId="0" xfId="0" applyNumberFormat="1" applyBorder="1"/>
    <xf numFmtId="0" fontId="13" fillId="0" borderId="0" xfId="0" applyNumberFormat="1" applyFont="1" applyBorder="1" applyAlignment="1"/>
    <xf numFmtId="0" fontId="3" fillId="0" borderId="0" xfId="0" applyNumberFormat="1" applyFont="1"/>
    <xf numFmtId="0" fontId="11" fillId="0" borderId="0" xfId="0" applyNumberFormat="1" applyFont="1" applyAlignment="1">
      <alignment vertical="center"/>
    </xf>
    <xf numFmtId="0" fontId="3" fillId="14" borderId="23" xfId="0" applyNumberFormat="1" applyFont="1" applyFill="1" applyBorder="1" applyAlignment="1">
      <alignment horizontal="center"/>
    </xf>
    <xf numFmtId="164" fontId="4" fillId="7" borderId="1" xfId="0" applyNumberFormat="1" applyFont="1" applyFill="1" applyBorder="1" applyAlignment="1">
      <alignment horizontal="right" vertical="center"/>
    </xf>
    <xf numFmtId="164" fontId="0" fillId="5" borderId="2" xfId="0" applyNumberFormat="1" applyFill="1" applyBorder="1" applyAlignment="1">
      <alignment horizontal="right"/>
    </xf>
    <xf numFmtId="164" fontId="0" fillId="5" borderId="3" xfId="0" applyNumberFormat="1" applyFill="1" applyBorder="1" applyAlignment="1">
      <alignment horizontal="right"/>
    </xf>
    <xf numFmtId="164" fontId="0" fillId="5" borderId="11" xfId="0" applyNumberFormat="1" applyFill="1" applyBorder="1" applyAlignment="1">
      <alignment horizontal="right"/>
    </xf>
    <xf numFmtId="164" fontId="0" fillId="5" borderId="4" xfId="0" applyNumberFormat="1" applyFill="1" applyBorder="1" applyAlignment="1">
      <alignment horizontal="right"/>
    </xf>
    <xf numFmtId="0" fontId="3" fillId="13" borderId="30" xfId="0" applyFont="1" applyFill="1" applyBorder="1"/>
    <xf numFmtId="164" fontId="6" fillId="8" borderId="12" xfId="0" applyNumberFormat="1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4" fontId="5" fillId="0" borderId="0" xfId="0" applyNumberFormat="1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12" borderId="8" xfId="0" applyFont="1" applyFill="1" applyBorder="1" applyAlignment="1" applyProtection="1">
      <alignment horizontal="left" vertical="top" wrapText="1"/>
      <protection locked="0"/>
    </xf>
    <xf numFmtId="0" fontId="5" fillId="12" borderId="9" xfId="0" applyFont="1" applyFill="1" applyBorder="1" applyAlignment="1" applyProtection="1">
      <alignment horizontal="left" vertical="top" wrapText="1"/>
      <protection locked="0"/>
    </xf>
    <xf numFmtId="0" fontId="5" fillId="12" borderId="10" xfId="0" applyFont="1" applyFill="1" applyBorder="1" applyAlignment="1" applyProtection="1">
      <alignment horizontal="left" vertical="top" wrapText="1"/>
      <protection locked="0"/>
    </xf>
    <xf numFmtId="0" fontId="4" fillId="7" borderId="1" xfId="0" applyFont="1" applyFill="1" applyBorder="1" applyAlignment="1">
      <alignment horizontal="right" vertical="center"/>
    </xf>
    <xf numFmtId="168" fontId="8" fillId="10" borderId="13" xfId="0" applyNumberFormat="1" applyFont="1" applyFill="1" applyBorder="1" applyAlignment="1">
      <alignment horizontal="center" vertical="center"/>
    </xf>
    <xf numFmtId="167" fontId="7" fillId="11" borderId="25" xfId="0" applyNumberFormat="1" applyFont="1" applyFill="1" applyBorder="1" applyAlignment="1">
      <alignment horizontal="center" vertical="center"/>
    </xf>
    <xf numFmtId="167" fontId="7" fillId="11" borderId="26" xfId="0" applyNumberFormat="1" applyFont="1" applyFill="1" applyBorder="1" applyAlignment="1">
      <alignment horizontal="center" vertical="center"/>
    </xf>
    <xf numFmtId="167" fontId="7" fillId="11" borderId="27" xfId="0" applyNumberFormat="1" applyFont="1" applyFill="1" applyBorder="1" applyAlignment="1">
      <alignment horizontal="center" vertical="center"/>
    </xf>
    <xf numFmtId="166" fontId="4" fillId="7" borderId="8" xfId="0" applyNumberFormat="1" applyFont="1" applyFill="1" applyBorder="1" applyAlignment="1">
      <alignment horizontal="right" vertical="center"/>
    </xf>
    <xf numFmtId="166" fontId="4" fillId="7" borderId="9" xfId="0" applyNumberFormat="1" applyFont="1" applyFill="1" applyBorder="1" applyAlignment="1">
      <alignment horizontal="right" vertical="center"/>
    </xf>
    <xf numFmtId="0" fontId="3" fillId="14" borderId="21" xfId="0" applyNumberFormat="1" applyFont="1" applyFill="1" applyBorder="1" applyAlignment="1">
      <alignment horizontal="center"/>
    </xf>
    <xf numFmtId="0" fontId="3" fillId="14" borderId="22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4" xfId="0" applyNumberFormat="1" applyFont="1" applyBorder="1" applyAlignment="1">
      <alignment horizontal="center" vertical="center"/>
    </xf>
    <xf numFmtId="170" fontId="11" fillId="15" borderId="15" xfId="0" applyNumberFormat="1" applyFont="1" applyFill="1" applyBorder="1" applyAlignment="1">
      <alignment horizontal="center"/>
    </xf>
    <xf numFmtId="170" fontId="11" fillId="15" borderId="16" xfId="0" applyNumberFormat="1" applyFont="1" applyFill="1" applyBorder="1" applyAlignment="1">
      <alignment horizontal="center"/>
    </xf>
    <xf numFmtId="170" fontId="11" fillId="15" borderId="17" xfId="0" applyNumberFormat="1" applyFont="1" applyFill="1" applyBorder="1" applyAlignment="1">
      <alignment horizontal="center"/>
    </xf>
    <xf numFmtId="164" fontId="11" fillId="15" borderId="18" xfId="0" applyNumberFormat="1" applyFont="1" applyFill="1" applyBorder="1" applyAlignment="1">
      <alignment horizontal="center"/>
    </xf>
    <xf numFmtId="164" fontId="11" fillId="15" borderId="19" xfId="0" applyNumberFormat="1" applyFont="1" applyFill="1" applyBorder="1" applyAlignment="1">
      <alignment horizontal="center"/>
    </xf>
    <xf numFmtId="164" fontId="11" fillId="15" borderId="20" xfId="0" applyNumberFormat="1" applyFont="1" applyFill="1" applyBorder="1" applyAlignment="1">
      <alignment horizontal="center"/>
    </xf>
    <xf numFmtId="0" fontId="13" fillId="0" borderId="16" xfId="0" applyNumberFormat="1" applyFont="1" applyBorder="1" applyAlignment="1">
      <alignment horizontal="center"/>
    </xf>
    <xf numFmtId="0" fontId="11" fillId="0" borderId="24" xfId="0" applyFont="1" applyBorder="1" applyAlignment="1">
      <alignment horizontal="center" vertical="center"/>
    </xf>
    <xf numFmtId="171" fontId="0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28574</xdr:colOff>
      <xdr:row>1</xdr:row>
      <xdr:rowOff>152400</xdr:rowOff>
    </xdr:from>
    <xdr:to>
      <xdr:col>17</xdr:col>
      <xdr:colOff>895350</xdr:colOff>
      <xdr:row>3</xdr:row>
      <xdr:rowOff>104775</xdr:rowOff>
    </xdr:to>
    <xdr:sp macro="[0]!Generate_Quo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24719D4-F53B-604F-A00F-126AE107D12E}"/>
            </a:ext>
          </a:extLst>
        </xdr:cNvPr>
        <xdr:cNvSpPr/>
      </xdr:nvSpPr>
      <xdr:spPr>
        <a:xfrm>
          <a:off x="11134724" y="209550"/>
          <a:ext cx="1790701" cy="295275"/>
        </a:xfrm>
        <a:prstGeom prst="roundRect">
          <a:avLst/>
        </a:prstGeom>
        <a:solidFill>
          <a:srgbClr val="00206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 kern="1200">
              <a:ln>
                <a:noFill/>
              </a:ln>
              <a:solidFill>
                <a:schemeClr val="bg1"/>
              </a:solidFill>
            </a:rPr>
            <a:t>Create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19052</xdr:colOff>
      <xdr:row>0</xdr:row>
      <xdr:rowOff>1</xdr:rowOff>
    </xdr:from>
    <xdr:to>
      <xdr:col>2</xdr:col>
      <xdr:colOff>0</xdr:colOff>
      <xdr:row>3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E11B0C-D5DD-078A-6583-D88E19BF1107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7" y="1"/>
          <a:ext cx="704848" cy="73342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8321-8C72-40A5-BD03-B6DAAC9D2614}">
  <sheetPr codeName="Sheet1">
    <tabColor rgb="FF92D050"/>
  </sheetPr>
  <dimension ref="B1:G18"/>
  <sheetViews>
    <sheetView showGridLines="0" tabSelected="1" workbookViewId="0">
      <selection activeCell="C2" sqref="C2"/>
    </sheetView>
  </sheetViews>
  <sheetFormatPr defaultRowHeight="15" x14ac:dyDescent="0.25"/>
  <cols>
    <col min="1" max="1" width="1.7109375" customWidth="1"/>
    <col min="2" max="2" width="19.5703125" customWidth="1"/>
    <col min="3" max="3" width="40.7109375" customWidth="1"/>
    <col min="4" max="4" width="4.140625" customWidth="1"/>
    <col min="5" max="5" width="19.5703125" customWidth="1"/>
    <col min="6" max="6" width="40.7109375" customWidth="1"/>
  </cols>
  <sheetData>
    <row r="1" spans="2:7" ht="5.0999999999999996" customHeight="1" thickBot="1" x14ac:dyDescent="0.3"/>
    <row r="2" spans="2:7" ht="24.95" customHeight="1" thickBot="1" x14ac:dyDescent="0.4">
      <c r="B2" s="39" t="s">
        <v>69</v>
      </c>
      <c r="C2" s="74">
        <f ca="1">TODAY()</f>
        <v>46148</v>
      </c>
    </row>
    <row r="3" spans="2:7" ht="5.0999999999999996" customHeight="1" thickBot="1" x14ac:dyDescent="0.3"/>
    <row r="4" spans="2:7" ht="24.95" customHeight="1" thickBot="1" x14ac:dyDescent="0.4">
      <c r="B4" s="39" t="s">
        <v>48</v>
      </c>
      <c r="C4" s="40" t="str">
        <f>IF(F6="","",TEXT(C2,"yyyymmdd")&amp;"-"&amp;LEFT(C6,1)&amp;LEFT(F6,1)&amp;"-"&amp;TEXT(F4,"00"))</f>
        <v/>
      </c>
      <c r="E4" s="39" t="s">
        <v>73</v>
      </c>
      <c r="F4" s="45">
        <v>1</v>
      </c>
    </row>
    <row r="5" spans="2:7" ht="9.9499999999999993" customHeight="1" thickBot="1" x14ac:dyDescent="0.3"/>
    <row r="6" spans="2:7" s="29" customFormat="1" ht="22.5" customHeight="1" thickBot="1" x14ac:dyDescent="0.3">
      <c r="B6" s="41" t="s">
        <v>52</v>
      </c>
      <c r="C6" s="42"/>
      <c r="E6" s="41" t="s">
        <v>53</v>
      </c>
      <c r="F6" s="42"/>
      <c r="G6" s="73" t="str">
        <f>C6&amp;" "&amp;F6</f>
        <v xml:space="preserve"> </v>
      </c>
    </row>
    <row r="7" spans="2:7" s="28" customFormat="1" ht="9.9499999999999993" customHeight="1" thickBot="1" x14ac:dyDescent="0.35"/>
    <row r="8" spans="2:7" s="29" customFormat="1" ht="22.5" customHeight="1" thickBot="1" x14ac:dyDescent="0.3">
      <c r="B8" s="41" t="s">
        <v>54</v>
      </c>
      <c r="C8" s="43"/>
      <c r="E8" s="41" t="s">
        <v>55</v>
      </c>
      <c r="F8" s="44"/>
    </row>
    <row r="9" spans="2:7" s="28" customFormat="1" ht="9.9499999999999993" customHeight="1" thickBot="1" x14ac:dyDescent="0.35"/>
    <row r="10" spans="2:7" s="29" customFormat="1" ht="22.5" customHeight="1" thickBot="1" x14ac:dyDescent="0.3">
      <c r="B10" s="41" t="s">
        <v>58</v>
      </c>
      <c r="C10" s="42"/>
      <c r="E10" s="41" t="s">
        <v>59</v>
      </c>
      <c r="F10" s="42"/>
    </row>
    <row r="11" spans="2:7" s="28" customFormat="1" ht="9.9499999999999993" customHeight="1" thickBot="1" x14ac:dyDescent="0.35"/>
    <row r="12" spans="2:7" s="29" customFormat="1" ht="22.5" customHeight="1" thickBot="1" x14ac:dyDescent="0.3">
      <c r="B12" s="41" t="s">
        <v>56</v>
      </c>
      <c r="C12" s="42"/>
      <c r="E12" s="41" t="s">
        <v>57</v>
      </c>
      <c r="F12" s="42"/>
    </row>
    <row r="13" spans="2:7" s="28" customFormat="1" ht="9.9499999999999993" customHeight="1" x14ac:dyDescent="0.3"/>
    <row r="14" spans="2:7" s="29" customFormat="1" ht="22.5" customHeight="1" thickBot="1" x14ac:dyDescent="0.3">
      <c r="B14" s="29" t="s">
        <v>75</v>
      </c>
    </row>
    <row r="15" spans="2:7" ht="162" customHeight="1" thickBot="1" x14ac:dyDescent="0.3">
      <c r="B15" s="98"/>
      <c r="C15" s="99"/>
      <c r="D15" s="99"/>
      <c r="E15" s="99"/>
      <c r="F15" s="100"/>
    </row>
    <row r="17" spans="2:6" ht="19.5" thickBot="1" x14ac:dyDescent="0.3">
      <c r="B17" s="29" t="s">
        <v>76</v>
      </c>
      <c r="C17" s="29"/>
      <c r="D17" s="29"/>
      <c r="E17" s="29"/>
      <c r="F17" s="29"/>
    </row>
    <row r="18" spans="2:6" ht="117" customHeight="1" thickBot="1" x14ac:dyDescent="0.3">
      <c r="B18" s="98"/>
      <c r="C18" s="99"/>
      <c r="D18" s="99"/>
      <c r="E18" s="99"/>
      <c r="F18" s="100"/>
    </row>
  </sheetData>
  <sheetProtection sheet="1" objects="1" scenarios="1" selectLockedCells="1"/>
  <mergeCells count="2">
    <mergeCell ref="B15:F15"/>
    <mergeCell ref="B18:F18"/>
  </mergeCells>
  <pageMargins left="0.7" right="0.7" top="0.75" bottom="0.75" header="0.3" footer="0.3"/>
  <pageSetup paperSize="9" orientation="portrait" r:id="rId1"/>
  <ignoredErrors>
    <ignoredError sqref="C2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9D3523-9E6F-487A-A805-A76AE3150039}">
          <x14:formula1>
            <xm:f>References!$C$2:$C$11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3A6E-7C3C-4A37-996F-1A1F4CF5E239}">
  <sheetPr codeName="Sheet2">
    <tabColor rgb="FFFFFF00"/>
  </sheetPr>
  <dimension ref="B1:V109"/>
  <sheetViews>
    <sheetView showGridLines="0" workbookViewId="0">
      <selection activeCell="C7" sqref="C7"/>
    </sheetView>
  </sheetViews>
  <sheetFormatPr defaultRowHeight="15" x14ac:dyDescent="0.25"/>
  <cols>
    <col min="1" max="1" width="0.85546875" customWidth="1"/>
    <col min="2" max="2" width="10.7109375" customWidth="1"/>
    <col min="3" max="3" width="28.7109375" customWidth="1"/>
    <col min="4" max="4" width="9.5703125" customWidth="1"/>
    <col min="5" max="5" width="14" style="1" customWidth="1"/>
    <col min="6" max="6" width="14" style="72" customWidth="1"/>
    <col min="7" max="7" width="14" style="6" customWidth="1"/>
    <col min="8" max="8" width="3.140625" customWidth="1"/>
    <col min="9" max="9" width="28.7109375" customWidth="1"/>
    <col min="10" max="10" width="35.7109375" customWidth="1"/>
    <col min="11" max="12" width="3.5703125" style="1" customWidth="1"/>
    <col min="13" max="13" width="10.7109375" style="1" customWidth="1"/>
    <col min="14" max="14" width="7" style="1" hidden="1" customWidth="1"/>
    <col min="15" max="15" width="6.85546875" style="1" hidden="1" customWidth="1"/>
    <col min="16" max="16" width="10.140625" style="6" hidden="1" customWidth="1"/>
    <col min="17" max="17" width="3.140625" customWidth="1"/>
    <col min="18" max="18" width="28.7109375" customWidth="1"/>
    <col min="19" max="19" width="35.7109375" customWidth="1"/>
    <col min="20" max="20" width="10.7109375" style="6" customWidth="1"/>
    <col min="21" max="21" width="10.7109375" style="23" customWidth="1"/>
    <col min="22" max="22" width="10.7109375" style="6" customWidth="1"/>
  </cols>
  <sheetData>
    <row r="1" spans="2:22" ht="5.0999999999999996" customHeight="1" thickBot="1" x14ac:dyDescent="0.3"/>
    <row r="2" spans="2:22" ht="22.5" customHeight="1" thickBot="1" x14ac:dyDescent="0.3">
      <c r="B2" s="102" t="str">
        <f>Customer!C4</f>
        <v/>
      </c>
      <c r="C2" s="102"/>
      <c r="D2" s="103">
        <f>SUM($G$4+$P$107)</f>
        <v>0</v>
      </c>
      <c r="E2" s="104"/>
      <c r="F2" s="104"/>
      <c r="G2" s="105"/>
      <c r="I2" s="38" t="s">
        <v>82</v>
      </c>
      <c r="J2" s="93"/>
      <c r="K2" s="94"/>
      <c r="L2" s="94"/>
      <c r="M2" s="94"/>
      <c r="N2" s="94"/>
      <c r="O2" s="94"/>
      <c r="P2" s="95"/>
      <c r="Q2" s="94"/>
      <c r="R2" s="94"/>
    </row>
    <row r="3" spans="2:22" ht="5.0999999999999996" customHeight="1" thickBot="1" x14ac:dyDescent="0.3">
      <c r="J3" s="94"/>
      <c r="K3" s="94"/>
      <c r="L3" s="94"/>
      <c r="M3" s="94"/>
      <c r="N3" s="94"/>
      <c r="O3" s="94"/>
      <c r="P3" s="95"/>
      <c r="Q3" s="94"/>
      <c r="R3" s="94"/>
    </row>
    <row r="4" spans="2:22" s="29" customFormat="1" ht="22.5" customHeight="1" thickBot="1" x14ac:dyDescent="0.3">
      <c r="B4" s="101" t="s">
        <v>14</v>
      </c>
      <c r="C4" s="101"/>
      <c r="D4" s="106">
        <f>SUM(E7:E45)</f>
        <v>0</v>
      </c>
      <c r="E4" s="107"/>
      <c r="F4" s="87">
        <f>SUM(F7:F45)</f>
        <v>0</v>
      </c>
      <c r="G4" s="53">
        <f>SUM(G7:G45)</f>
        <v>0</v>
      </c>
      <c r="I4" s="38" t="s">
        <v>83</v>
      </c>
      <c r="J4" s="93"/>
      <c r="K4" s="94"/>
      <c r="L4" s="94"/>
      <c r="M4" s="94"/>
      <c r="N4" s="94"/>
      <c r="O4" s="94"/>
      <c r="P4" s="96"/>
      <c r="Q4" s="97"/>
      <c r="R4" s="97"/>
      <c r="U4" s="31"/>
      <c r="V4" s="30"/>
    </row>
    <row r="5" spans="2:22" ht="5.0999999999999996" customHeight="1" thickBot="1" x14ac:dyDescent="0.3">
      <c r="I5" t="s">
        <v>36</v>
      </c>
    </row>
    <row r="6" spans="2:22" ht="15.75" thickBot="1" x14ac:dyDescent="0.3">
      <c r="B6" s="2" t="s">
        <v>15</v>
      </c>
      <c r="C6" s="2" t="s">
        <v>0</v>
      </c>
      <c r="D6" s="58" t="s">
        <v>81</v>
      </c>
      <c r="E6" s="7" t="s">
        <v>1</v>
      </c>
      <c r="F6" s="62" t="s">
        <v>96</v>
      </c>
      <c r="G6" s="5" t="s">
        <v>2</v>
      </c>
      <c r="I6" s="8" t="s">
        <v>0</v>
      </c>
      <c r="J6" s="8" t="s">
        <v>3</v>
      </c>
      <c r="K6" s="8" t="s">
        <v>84</v>
      </c>
      <c r="L6" s="8" t="s">
        <v>85</v>
      </c>
      <c r="M6" s="8" t="s">
        <v>1</v>
      </c>
      <c r="N6" s="8" t="s">
        <v>86</v>
      </c>
      <c r="O6" s="8" t="s">
        <v>87</v>
      </c>
      <c r="P6" s="62" t="s">
        <v>5</v>
      </c>
      <c r="R6" s="2" t="s">
        <v>0</v>
      </c>
      <c r="S6" s="2" t="s">
        <v>4</v>
      </c>
      <c r="T6" s="5" t="s">
        <v>5</v>
      </c>
      <c r="U6" s="24" t="s">
        <v>13</v>
      </c>
      <c r="V6" s="5" t="s">
        <v>12</v>
      </c>
    </row>
    <row r="7" spans="2:22" x14ac:dyDescent="0.25">
      <c r="B7" s="3" t="str">
        <f>IF(C7="","",1)</f>
        <v/>
      </c>
      <c r="C7" s="17"/>
      <c r="D7" s="54"/>
      <c r="E7" s="9" t="str">
        <f t="shared" ref="E7:E46" si="0">IF(C7="","",SUMIF(I:I,C7,M:M))</f>
        <v/>
      </c>
      <c r="F7" s="88" t="str">
        <f>IF(C7="","",SUMIF(I:I,C7,P:P))</f>
        <v/>
      </c>
      <c r="G7" s="12" t="str">
        <f t="shared" ref="G7:G46" si="1">IF(C7="","",SUMIF(R:R,C7,V:V))</f>
        <v/>
      </c>
      <c r="I7" s="15"/>
      <c r="J7" s="15"/>
      <c r="K7" s="36"/>
      <c r="L7" s="36"/>
      <c r="M7" s="59"/>
      <c r="N7" s="36">
        <f>M7*K7</f>
        <v>0</v>
      </c>
      <c r="O7" s="36">
        <f>L7*M7</f>
        <v>0</v>
      </c>
      <c r="P7" s="61">
        <f>(N7*$J$2)+(O7*$J$4)</f>
        <v>0</v>
      </c>
      <c r="R7" s="17"/>
      <c r="S7" s="17"/>
      <c r="T7" s="20"/>
      <c r="U7" s="25"/>
      <c r="V7" s="12" t="str">
        <f>IF(R7="","",T7*(U7+1))</f>
        <v/>
      </c>
    </row>
    <row r="8" spans="2:22" x14ac:dyDescent="0.25">
      <c r="B8" s="3" t="str">
        <f>IF(C8="","",B7+1)</f>
        <v/>
      </c>
      <c r="C8" s="18"/>
      <c r="D8" s="55"/>
      <c r="E8" s="10" t="str">
        <f t="shared" si="0"/>
        <v/>
      </c>
      <c r="F8" s="89" t="str">
        <f t="shared" ref="F8:F46" si="2">IF(C8="","",SUMIF(I:I,C8,P:P))</f>
        <v/>
      </c>
      <c r="G8" s="13" t="str">
        <f t="shared" si="1"/>
        <v/>
      </c>
      <c r="I8" s="15"/>
      <c r="J8" s="15"/>
      <c r="K8" s="36"/>
      <c r="L8" s="36"/>
      <c r="M8" s="59"/>
      <c r="N8" s="36">
        <f t="shared" ref="N8:N71" si="3">M8*K8</f>
        <v>0</v>
      </c>
      <c r="O8" s="36">
        <f t="shared" ref="O8:O71" si="4">L8*M8</f>
        <v>0</v>
      </c>
      <c r="P8" s="61">
        <f t="shared" ref="P8:P71" si="5">(N8*$J$2)+(O8*$J$4)</f>
        <v>0</v>
      </c>
      <c r="R8" s="18"/>
      <c r="S8" s="18"/>
      <c r="T8" s="21"/>
      <c r="U8" s="26"/>
      <c r="V8" s="13" t="str">
        <f t="shared" ref="V8:V71" si="6">IF(R8="","",T8*(U8+1))</f>
        <v/>
      </c>
    </row>
    <row r="9" spans="2:22" x14ac:dyDescent="0.25">
      <c r="B9" s="3" t="str">
        <f t="shared" ref="B9:B46" si="7">IF(C9="","",B8+1)</f>
        <v/>
      </c>
      <c r="C9" s="18"/>
      <c r="D9" s="55"/>
      <c r="E9" s="10" t="str">
        <f t="shared" si="0"/>
        <v/>
      </c>
      <c r="F9" s="89" t="str">
        <f t="shared" si="2"/>
        <v/>
      </c>
      <c r="G9" s="13" t="str">
        <f t="shared" si="1"/>
        <v/>
      </c>
      <c r="I9" s="15"/>
      <c r="J9" s="15"/>
      <c r="K9" s="36"/>
      <c r="L9" s="36"/>
      <c r="M9" s="59"/>
      <c r="N9" s="36">
        <f t="shared" si="3"/>
        <v>0</v>
      </c>
      <c r="O9" s="36">
        <f t="shared" si="4"/>
        <v>0</v>
      </c>
      <c r="P9" s="61">
        <f t="shared" si="5"/>
        <v>0</v>
      </c>
      <c r="R9" s="18"/>
      <c r="S9" s="18"/>
      <c r="T9" s="21"/>
      <c r="U9" s="26"/>
      <c r="V9" s="13" t="str">
        <f t="shared" si="6"/>
        <v/>
      </c>
    </row>
    <row r="10" spans="2:22" x14ac:dyDescent="0.25">
      <c r="B10" s="3" t="str">
        <f t="shared" si="7"/>
        <v/>
      </c>
      <c r="C10" s="18"/>
      <c r="D10" s="55"/>
      <c r="E10" s="10" t="str">
        <f t="shared" si="0"/>
        <v/>
      </c>
      <c r="F10" s="89" t="str">
        <f t="shared" si="2"/>
        <v/>
      </c>
      <c r="G10" s="13" t="str">
        <f t="shared" si="1"/>
        <v/>
      </c>
      <c r="I10" s="15"/>
      <c r="J10" s="15"/>
      <c r="K10" s="36"/>
      <c r="L10" s="36"/>
      <c r="M10" s="59"/>
      <c r="N10" s="36">
        <f t="shared" si="3"/>
        <v>0</v>
      </c>
      <c r="O10" s="36">
        <f t="shared" si="4"/>
        <v>0</v>
      </c>
      <c r="P10" s="61">
        <f t="shared" si="5"/>
        <v>0</v>
      </c>
      <c r="R10" s="18"/>
      <c r="S10" s="18"/>
      <c r="T10" s="21"/>
      <c r="U10" s="26"/>
      <c r="V10" s="13" t="str">
        <f t="shared" si="6"/>
        <v/>
      </c>
    </row>
    <row r="11" spans="2:22" x14ac:dyDescent="0.25">
      <c r="B11" s="3" t="str">
        <f t="shared" si="7"/>
        <v/>
      </c>
      <c r="C11" s="18"/>
      <c r="D11" s="55"/>
      <c r="E11" s="10" t="str">
        <f t="shared" si="0"/>
        <v/>
      </c>
      <c r="F11" s="89" t="str">
        <f t="shared" si="2"/>
        <v/>
      </c>
      <c r="G11" s="13" t="str">
        <f t="shared" si="1"/>
        <v/>
      </c>
      <c r="I11" s="15"/>
      <c r="J11" s="15"/>
      <c r="K11" s="36"/>
      <c r="L11" s="36"/>
      <c r="M11" s="59"/>
      <c r="N11" s="36">
        <f t="shared" si="3"/>
        <v>0</v>
      </c>
      <c r="O11" s="36">
        <f t="shared" si="4"/>
        <v>0</v>
      </c>
      <c r="P11" s="61">
        <f t="shared" si="5"/>
        <v>0</v>
      </c>
      <c r="R11" s="18"/>
      <c r="S11" s="18"/>
      <c r="T11" s="21"/>
      <c r="U11" s="26"/>
      <c r="V11" s="13" t="str">
        <f t="shared" si="6"/>
        <v/>
      </c>
    </row>
    <row r="12" spans="2:22" x14ac:dyDescent="0.25">
      <c r="B12" s="3" t="str">
        <f t="shared" si="7"/>
        <v/>
      </c>
      <c r="C12" s="18"/>
      <c r="D12" s="55"/>
      <c r="E12" s="10" t="str">
        <f t="shared" si="0"/>
        <v/>
      </c>
      <c r="F12" s="89" t="str">
        <f t="shared" si="2"/>
        <v/>
      </c>
      <c r="G12" s="13" t="str">
        <f t="shared" si="1"/>
        <v/>
      </c>
      <c r="I12" s="15"/>
      <c r="J12" s="15"/>
      <c r="K12" s="36"/>
      <c r="L12" s="36"/>
      <c r="M12" s="59"/>
      <c r="N12" s="36">
        <f t="shared" si="3"/>
        <v>0</v>
      </c>
      <c r="O12" s="36">
        <f t="shared" si="4"/>
        <v>0</v>
      </c>
      <c r="P12" s="61">
        <f t="shared" si="5"/>
        <v>0</v>
      </c>
      <c r="R12" s="18"/>
      <c r="S12" s="18"/>
      <c r="T12" s="21"/>
      <c r="U12" s="26"/>
      <c r="V12" s="13" t="str">
        <f t="shared" si="6"/>
        <v/>
      </c>
    </row>
    <row r="13" spans="2:22" x14ac:dyDescent="0.25">
      <c r="B13" s="3" t="str">
        <f t="shared" si="7"/>
        <v/>
      </c>
      <c r="C13" s="18"/>
      <c r="D13" s="55"/>
      <c r="E13" s="10" t="str">
        <f t="shared" si="0"/>
        <v/>
      </c>
      <c r="F13" s="89" t="str">
        <f t="shared" si="2"/>
        <v/>
      </c>
      <c r="G13" s="13" t="str">
        <f t="shared" si="1"/>
        <v/>
      </c>
      <c r="I13" s="15"/>
      <c r="J13" s="15"/>
      <c r="K13" s="36"/>
      <c r="L13" s="36"/>
      <c r="M13" s="59"/>
      <c r="N13" s="36">
        <f t="shared" si="3"/>
        <v>0</v>
      </c>
      <c r="O13" s="36">
        <f t="shared" si="4"/>
        <v>0</v>
      </c>
      <c r="P13" s="61">
        <f t="shared" si="5"/>
        <v>0</v>
      </c>
      <c r="R13" s="18"/>
      <c r="S13" s="18"/>
      <c r="T13" s="21"/>
      <c r="U13" s="26"/>
      <c r="V13" s="13" t="str">
        <f t="shared" si="6"/>
        <v/>
      </c>
    </row>
    <row r="14" spans="2:22" x14ac:dyDescent="0.25">
      <c r="B14" s="3" t="str">
        <f t="shared" si="7"/>
        <v/>
      </c>
      <c r="C14" s="18"/>
      <c r="D14" s="55"/>
      <c r="E14" s="10" t="str">
        <f t="shared" si="0"/>
        <v/>
      </c>
      <c r="F14" s="89" t="str">
        <f t="shared" si="2"/>
        <v/>
      </c>
      <c r="G14" s="13" t="str">
        <f t="shared" si="1"/>
        <v/>
      </c>
      <c r="I14" s="15"/>
      <c r="J14" s="15"/>
      <c r="K14" s="36"/>
      <c r="L14" s="36"/>
      <c r="M14" s="59"/>
      <c r="N14" s="36">
        <f t="shared" si="3"/>
        <v>0</v>
      </c>
      <c r="O14" s="36">
        <f t="shared" si="4"/>
        <v>0</v>
      </c>
      <c r="P14" s="61">
        <f t="shared" si="5"/>
        <v>0</v>
      </c>
      <c r="R14" s="18"/>
      <c r="S14" s="18"/>
      <c r="T14" s="21"/>
      <c r="U14" s="26"/>
      <c r="V14" s="13" t="str">
        <f t="shared" si="6"/>
        <v/>
      </c>
    </row>
    <row r="15" spans="2:22" x14ac:dyDescent="0.25">
      <c r="B15" s="3" t="str">
        <f t="shared" si="7"/>
        <v/>
      </c>
      <c r="C15" s="18"/>
      <c r="D15" s="55"/>
      <c r="E15" s="10" t="str">
        <f t="shared" si="0"/>
        <v/>
      </c>
      <c r="F15" s="89" t="str">
        <f t="shared" si="2"/>
        <v/>
      </c>
      <c r="G15" s="13" t="str">
        <f t="shared" si="1"/>
        <v/>
      </c>
      <c r="I15" s="15"/>
      <c r="J15" s="15"/>
      <c r="K15" s="36"/>
      <c r="L15" s="36"/>
      <c r="M15" s="59"/>
      <c r="N15" s="36">
        <f t="shared" si="3"/>
        <v>0</v>
      </c>
      <c r="O15" s="36">
        <f t="shared" si="4"/>
        <v>0</v>
      </c>
      <c r="P15" s="61">
        <f t="shared" si="5"/>
        <v>0</v>
      </c>
      <c r="R15" s="18"/>
      <c r="S15" s="18"/>
      <c r="T15" s="21"/>
      <c r="U15" s="26"/>
      <c r="V15" s="13" t="str">
        <f t="shared" si="6"/>
        <v/>
      </c>
    </row>
    <row r="16" spans="2:22" x14ac:dyDescent="0.25">
      <c r="B16" s="3" t="str">
        <f t="shared" si="7"/>
        <v/>
      </c>
      <c r="C16" s="18"/>
      <c r="D16" s="55"/>
      <c r="E16" s="10" t="str">
        <f t="shared" si="0"/>
        <v/>
      </c>
      <c r="F16" s="89" t="str">
        <f t="shared" si="2"/>
        <v/>
      </c>
      <c r="G16" s="13" t="str">
        <f t="shared" si="1"/>
        <v/>
      </c>
      <c r="I16" s="15"/>
      <c r="J16" s="15"/>
      <c r="K16" s="36"/>
      <c r="L16" s="36"/>
      <c r="M16" s="59"/>
      <c r="N16" s="36">
        <f t="shared" si="3"/>
        <v>0</v>
      </c>
      <c r="O16" s="36">
        <f t="shared" si="4"/>
        <v>0</v>
      </c>
      <c r="P16" s="61">
        <f t="shared" si="5"/>
        <v>0</v>
      </c>
      <c r="R16" s="18"/>
      <c r="S16" s="18"/>
      <c r="T16" s="21"/>
      <c r="U16" s="26"/>
      <c r="V16" s="13" t="str">
        <f t="shared" si="6"/>
        <v/>
      </c>
    </row>
    <row r="17" spans="2:22" x14ac:dyDescent="0.25">
      <c r="B17" s="3" t="str">
        <f t="shared" si="7"/>
        <v/>
      </c>
      <c r="C17" s="18"/>
      <c r="D17" s="55"/>
      <c r="E17" s="10" t="str">
        <f t="shared" si="0"/>
        <v/>
      </c>
      <c r="F17" s="89" t="str">
        <f t="shared" si="2"/>
        <v/>
      </c>
      <c r="G17" s="13" t="str">
        <f t="shared" si="1"/>
        <v/>
      </c>
      <c r="I17" s="15"/>
      <c r="J17" s="15"/>
      <c r="K17" s="36"/>
      <c r="L17" s="36"/>
      <c r="M17" s="59"/>
      <c r="N17" s="36">
        <f t="shared" si="3"/>
        <v>0</v>
      </c>
      <c r="O17" s="36">
        <f t="shared" si="4"/>
        <v>0</v>
      </c>
      <c r="P17" s="61">
        <f t="shared" si="5"/>
        <v>0</v>
      </c>
      <c r="R17" s="18"/>
      <c r="S17" s="18"/>
      <c r="T17" s="21"/>
      <c r="U17" s="26"/>
      <c r="V17" s="13" t="str">
        <f t="shared" si="6"/>
        <v/>
      </c>
    </row>
    <row r="18" spans="2:22" x14ac:dyDescent="0.25">
      <c r="B18" s="3" t="str">
        <f t="shared" si="7"/>
        <v/>
      </c>
      <c r="C18" s="18"/>
      <c r="D18" s="55"/>
      <c r="E18" s="10" t="str">
        <f t="shared" si="0"/>
        <v/>
      </c>
      <c r="F18" s="89" t="str">
        <f t="shared" si="2"/>
        <v/>
      </c>
      <c r="G18" s="13" t="str">
        <f t="shared" si="1"/>
        <v/>
      </c>
      <c r="I18" s="15"/>
      <c r="J18" s="15"/>
      <c r="K18" s="36"/>
      <c r="L18" s="36"/>
      <c r="M18" s="59"/>
      <c r="N18" s="36">
        <f t="shared" si="3"/>
        <v>0</v>
      </c>
      <c r="O18" s="36">
        <f t="shared" si="4"/>
        <v>0</v>
      </c>
      <c r="P18" s="61">
        <f t="shared" si="5"/>
        <v>0</v>
      </c>
      <c r="R18" s="18"/>
      <c r="S18" s="18"/>
      <c r="T18" s="21"/>
      <c r="U18" s="26"/>
      <c r="V18" s="13" t="str">
        <f t="shared" si="6"/>
        <v/>
      </c>
    </row>
    <row r="19" spans="2:22" x14ac:dyDescent="0.25">
      <c r="B19" s="3" t="str">
        <f t="shared" si="7"/>
        <v/>
      </c>
      <c r="C19" s="18"/>
      <c r="D19" s="55"/>
      <c r="E19" s="10" t="str">
        <f t="shared" si="0"/>
        <v/>
      </c>
      <c r="F19" s="89" t="str">
        <f t="shared" si="2"/>
        <v/>
      </c>
      <c r="G19" s="13" t="str">
        <f t="shared" si="1"/>
        <v/>
      </c>
      <c r="I19" s="15"/>
      <c r="J19" s="15"/>
      <c r="K19" s="36"/>
      <c r="L19" s="36"/>
      <c r="M19" s="59"/>
      <c r="N19" s="36">
        <f t="shared" si="3"/>
        <v>0</v>
      </c>
      <c r="O19" s="36">
        <f t="shared" si="4"/>
        <v>0</v>
      </c>
      <c r="P19" s="61">
        <f t="shared" si="5"/>
        <v>0</v>
      </c>
      <c r="R19" s="18"/>
      <c r="S19" s="18"/>
      <c r="T19" s="21"/>
      <c r="U19" s="26"/>
      <c r="V19" s="13" t="str">
        <f t="shared" si="6"/>
        <v/>
      </c>
    </row>
    <row r="20" spans="2:22" x14ac:dyDescent="0.25">
      <c r="B20" s="3" t="str">
        <f t="shared" si="7"/>
        <v/>
      </c>
      <c r="C20" s="18"/>
      <c r="D20" s="55"/>
      <c r="E20" s="10" t="str">
        <f t="shared" si="0"/>
        <v/>
      </c>
      <c r="F20" s="89" t="str">
        <f t="shared" si="2"/>
        <v/>
      </c>
      <c r="G20" s="13" t="str">
        <f t="shared" si="1"/>
        <v/>
      </c>
      <c r="I20" s="15"/>
      <c r="J20" s="15"/>
      <c r="K20" s="36"/>
      <c r="L20" s="36"/>
      <c r="M20" s="59"/>
      <c r="N20" s="36">
        <f t="shared" si="3"/>
        <v>0</v>
      </c>
      <c r="O20" s="36">
        <f t="shared" si="4"/>
        <v>0</v>
      </c>
      <c r="P20" s="61">
        <f t="shared" si="5"/>
        <v>0</v>
      </c>
      <c r="R20" s="18"/>
      <c r="S20" s="18"/>
      <c r="T20" s="21"/>
      <c r="U20" s="26"/>
      <c r="V20" s="13" t="str">
        <f t="shared" si="6"/>
        <v/>
      </c>
    </row>
    <row r="21" spans="2:22" x14ac:dyDescent="0.25">
      <c r="B21" s="3" t="str">
        <f t="shared" si="7"/>
        <v/>
      </c>
      <c r="C21" s="18"/>
      <c r="D21" s="55"/>
      <c r="E21" s="10" t="str">
        <f t="shared" si="0"/>
        <v/>
      </c>
      <c r="F21" s="89" t="str">
        <f t="shared" si="2"/>
        <v/>
      </c>
      <c r="G21" s="13" t="str">
        <f t="shared" si="1"/>
        <v/>
      </c>
      <c r="I21" s="15"/>
      <c r="J21" s="15"/>
      <c r="K21" s="36"/>
      <c r="L21" s="36"/>
      <c r="M21" s="59"/>
      <c r="N21" s="36">
        <f t="shared" si="3"/>
        <v>0</v>
      </c>
      <c r="O21" s="36">
        <f t="shared" si="4"/>
        <v>0</v>
      </c>
      <c r="P21" s="61">
        <f t="shared" si="5"/>
        <v>0</v>
      </c>
      <c r="R21" s="18"/>
      <c r="S21" s="18"/>
      <c r="T21" s="21"/>
      <c r="U21" s="26"/>
      <c r="V21" s="13" t="str">
        <f t="shared" si="6"/>
        <v/>
      </c>
    </row>
    <row r="22" spans="2:22" x14ac:dyDescent="0.25">
      <c r="B22" s="3" t="str">
        <f t="shared" si="7"/>
        <v/>
      </c>
      <c r="C22" s="18"/>
      <c r="D22" s="55"/>
      <c r="E22" s="10" t="str">
        <f t="shared" si="0"/>
        <v/>
      </c>
      <c r="F22" s="89" t="str">
        <f t="shared" si="2"/>
        <v/>
      </c>
      <c r="G22" s="13" t="str">
        <f t="shared" si="1"/>
        <v/>
      </c>
      <c r="I22" s="15"/>
      <c r="J22" s="15"/>
      <c r="K22" s="36"/>
      <c r="L22" s="36"/>
      <c r="M22" s="59"/>
      <c r="N22" s="36">
        <f t="shared" si="3"/>
        <v>0</v>
      </c>
      <c r="O22" s="36">
        <f t="shared" si="4"/>
        <v>0</v>
      </c>
      <c r="P22" s="61">
        <f t="shared" si="5"/>
        <v>0</v>
      </c>
      <c r="R22" s="18"/>
      <c r="S22" s="18"/>
      <c r="T22" s="21"/>
      <c r="U22" s="26"/>
      <c r="V22" s="13" t="str">
        <f t="shared" si="6"/>
        <v/>
      </c>
    </row>
    <row r="23" spans="2:22" x14ac:dyDescent="0.25">
      <c r="B23" s="3" t="str">
        <f t="shared" si="7"/>
        <v/>
      </c>
      <c r="C23" s="18"/>
      <c r="D23" s="55"/>
      <c r="E23" s="10" t="str">
        <f t="shared" si="0"/>
        <v/>
      </c>
      <c r="F23" s="89" t="str">
        <f t="shared" si="2"/>
        <v/>
      </c>
      <c r="G23" s="13" t="str">
        <f t="shared" si="1"/>
        <v/>
      </c>
      <c r="I23" s="15"/>
      <c r="J23" s="15"/>
      <c r="K23" s="36"/>
      <c r="L23" s="36"/>
      <c r="M23" s="59"/>
      <c r="N23" s="36">
        <f t="shared" si="3"/>
        <v>0</v>
      </c>
      <c r="O23" s="36">
        <f t="shared" si="4"/>
        <v>0</v>
      </c>
      <c r="P23" s="61">
        <f t="shared" si="5"/>
        <v>0</v>
      </c>
      <c r="R23" s="18"/>
      <c r="S23" s="18"/>
      <c r="T23" s="21"/>
      <c r="U23" s="26"/>
      <c r="V23" s="13" t="str">
        <f t="shared" si="6"/>
        <v/>
      </c>
    </row>
    <row r="24" spans="2:22" x14ac:dyDescent="0.25">
      <c r="B24" s="3" t="str">
        <f t="shared" si="7"/>
        <v/>
      </c>
      <c r="C24" s="18"/>
      <c r="D24" s="55"/>
      <c r="E24" s="10" t="str">
        <f t="shared" si="0"/>
        <v/>
      </c>
      <c r="F24" s="89" t="str">
        <f t="shared" si="2"/>
        <v/>
      </c>
      <c r="G24" s="13" t="str">
        <f t="shared" si="1"/>
        <v/>
      </c>
      <c r="I24" s="15"/>
      <c r="J24" s="15"/>
      <c r="K24" s="36"/>
      <c r="L24" s="36"/>
      <c r="M24" s="59"/>
      <c r="N24" s="36">
        <f t="shared" si="3"/>
        <v>0</v>
      </c>
      <c r="O24" s="36">
        <f t="shared" si="4"/>
        <v>0</v>
      </c>
      <c r="P24" s="61">
        <f t="shared" si="5"/>
        <v>0</v>
      </c>
      <c r="R24" s="18"/>
      <c r="S24" s="18"/>
      <c r="T24" s="21"/>
      <c r="U24" s="26"/>
      <c r="V24" s="13" t="str">
        <f t="shared" si="6"/>
        <v/>
      </c>
    </row>
    <row r="25" spans="2:22" x14ac:dyDescent="0.25">
      <c r="B25" s="3" t="str">
        <f t="shared" si="7"/>
        <v/>
      </c>
      <c r="C25" s="18"/>
      <c r="D25" s="55"/>
      <c r="E25" s="10" t="str">
        <f t="shared" si="0"/>
        <v/>
      </c>
      <c r="F25" s="89" t="str">
        <f t="shared" si="2"/>
        <v/>
      </c>
      <c r="G25" s="13" t="str">
        <f t="shared" si="1"/>
        <v/>
      </c>
      <c r="I25" s="15"/>
      <c r="J25" s="15"/>
      <c r="K25" s="36"/>
      <c r="L25" s="36"/>
      <c r="M25" s="59"/>
      <c r="N25" s="36">
        <f t="shared" si="3"/>
        <v>0</v>
      </c>
      <c r="O25" s="36">
        <f t="shared" si="4"/>
        <v>0</v>
      </c>
      <c r="P25" s="61">
        <f t="shared" si="5"/>
        <v>0</v>
      </c>
      <c r="R25" s="18"/>
      <c r="S25" s="18"/>
      <c r="T25" s="21"/>
      <c r="U25" s="26"/>
      <c r="V25" s="13" t="str">
        <f t="shared" si="6"/>
        <v/>
      </c>
    </row>
    <row r="26" spans="2:22" x14ac:dyDescent="0.25">
      <c r="B26" s="3" t="str">
        <f t="shared" si="7"/>
        <v/>
      </c>
      <c r="C26" s="18"/>
      <c r="D26" s="55"/>
      <c r="E26" s="10" t="str">
        <f t="shared" si="0"/>
        <v/>
      </c>
      <c r="F26" s="89" t="str">
        <f t="shared" si="2"/>
        <v/>
      </c>
      <c r="G26" s="13" t="str">
        <f t="shared" si="1"/>
        <v/>
      </c>
      <c r="I26" s="15"/>
      <c r="J26" s="15"/>
      <c r="K26" s="36"/>
      <c r="L26" s="36"/>
      <c r="M26" s="59"/>
      <c r="N26" s="36">
        <f t="shared" si="3"/>
        <v>0</v>
      </c>
      <c r="O26" s="36">
        <f t="shared" si="4"/>
        <v>0</v>
      </c>
      <c r="P26" s="61">
        <f t="shared" si="5"/>
        <v>0</v>
      </c>
      <c r="R26" s="18"/>
      <c r="S26" s="18"/>
      <c r="T26" s="21"/>
      <c r="U26" s="26"/>
      <c r="V26" s="13" t="str">
        <f t="shared" si="6"/>
        <v/>
      </c>
    </row>
    <row r="27" spans="2:22" x14ac:dyDescent="0.25">
      <c r="B27" s="3" t="str">
        <f t="shared" si="7"/>
        <v/>
      </c>
      <c r="C27" s="18"/>
      <c r="D27" s="55"/>
      <c r="E27" s="10" t="str">
        <f t="shared" si="0"/>
        <v/>
      </c>
      <c r="F27" s="89" t="str">
        <f t="shared" si="2"/>
        <v/>
      </c>
      <c r="G27" s="13" t="str">
        <f t="shared" si="1"/>
        <v/>
      </c>
      <c r="I27" s="15"/>
      <c r="J27" s="15"/>
      <c r="K27" s="36"/>
      <c r="L27" s="36"/>
      <c r="M27" s="59"/>
      <c r="N27" s="36">
        <f t="shared" si="3"/>
        <v>0</v>
      </c>
      <c r="O27" s="36">
        <f t="shared" si="4"/>
        <v>0</v>
      </c>
      <c r="P27" s="61">
        <f t="shared" si="5"/>
        <v>0</v>
      </c>
      <c r="R27" s="18"/>
      <c r="S27" s="18"/>
      <c r="T27" s="21"/>
      <c r="U27" s="26"/>
      <c r="V27" s="13" t="str">
        <f t="shared" si="6"/>
        <v/>
      </c>
    </row>
    <row r="28" spans="2:22" x14ac:dyDescent="0.25">
      <c r="B28" s="3" t="str">
        <f t="shared" si="7"/>
        <v/>
      </c>
      <c r="C28" s="18"/>
      <c r="D28" s="55"/>
      <c r="E28" s="10" t="str">
        <f t="shared" si="0"/>
        <v/>
      </c>
      <c r="F28" s="89" t="str">
        <f t="shared" si="2"/>
        <v/>
      </c>
      <c r="G28" s="13" t="str">
        <f t="shared" si="1"/>
        <v/>
      </c>
      <c r="I28" s="15"/>
      <c r="J28" s="15"/>
      <c r="K28" s="36"/>
      <c r="L28" s="36"/>
      <c r="M28" s="59"/>
      <c r="N28" s="36">
        <f t="shared" si="3"/>
        <v>0</v>
      </c>
      <c r="O28" s="36">
        <f t="shared" si="4"/>
        <v>0</v>
      </c>
      <c r="P28" s="61">
        <f t="shared" si="5"/>
        <v>0</v>
      </c>
      <c r="R28" s="18"/>
      <c r="S28" s="18"/>
      <c r="T28" s="21"/>
      <c r="U28" s="26"/>
      <c r="V28" s="13" t="str">
        <f t="shared" si="6"/>
        <v/>
      </c>
    </row>
    <row r="29" spans="2:22" x14ac:dyDescent="0.25">
      <c r="B29" s="3" t="str">
        <f t="shared" si="7"/>
        <v/>
      </c>
      <c r="C29" s="18"/>
      <c r="D29" s="55"/>
      <c r="E29" s="10" t="str">
        <f t="shared" si="0"/>
        <v/>
      </c>
      <c r="F29" s="89" t="str">
        <f t="shared" si="2"/>
        <v/>
      </c>
      <c r="G29" s="13" t="str">
        <f t="shared" si="1"/>
        <v/>
      </c>
      <c r="I29" s="15"/>
      <c r="J29" s="15"/>
      <c r="K29" s="36"/>
      <c r="L29" s="36"/>
      <c r="M29" s="59"/>
      <c r="N29" s="36">
        <f t="shared" si="3"/>
        <v>0</v>
      </c>
      <c r="O29" s="36">
        <f t="shared" si="4"/>
        <v>0</v>
      </c>
      <c r="P29" s="61">
        <f t="shared" si="5"/>
        <v>0</v>
      </c>
      <c r="R29" s="18"/>
      <c r="S29" s="18"/>
      <c r="T29" s="21"/>
      <c r="U29" s="26"/>
      <c r="V29" s="13" t="str">
        <f t="shared" si="6"/>
        <v/>
      </c>
    </row>
    <row r="30" spans="2:22" x14ac:dyDescent="0.25">
      <c r="B30" s="3" t="str">
        <f t="shared" si="7"/>
        <v/>
      </c>
      <c r="C30" s="18"/>
      <c r="D30" s="55"/>
      <c r="E30" s="10" t="str">
        <f t="shared" si="0"/>
        <v/>
      </c>
      <c r="F30" s="89" t="str">
        <f t="shared" si="2"/>
        <v/>
      </c>
      <c r="G30" s="13" t="str">
        <f t="shared" si="1"/>
        <v/>
      </c>
      <c r="I30" s="15"/>
      <c r="J30" s="15"/>
      <c r="K30" s="36"/>
      <c r="L30" s="36"/>
      <c r="M30" s="59"/>
      <c r="N30" s="36">
        <f t="shared" si="3"/>
        <v>0</v>
      </c>
      <c r="O30" s="36">
        <f t="shared" si="4"/>
        <v>0</v>
      </c>
      <c r="P30" s="61">
        <f t="shared" si="5"/>
        <v>0</v>
      </c>
      <c r="R30" s="18"/>
      <c r="S30" s="18"/>
      <c r="T30" s="21"/>
      <c r="U30" s="26"/>
      <c r="V30" s="13" t="str">
        <f t="shared" si="6"/>
        <v/>
      </c>
    </row>
    <row r="31" spans="2:22" x14ac:dyDescent="0.25">
      <c r="B31" s="3" t="str">
        <f t="shared" si="7"/>
        <v/>
      </c>
      <c r="C31" s="18"/>
      <c r="D31" s="55"/>
      <c r="E31" s="10" t="str">
        <f t="shared" si="0"/>
        <v/>
      </c>
      <c r="F31" s="89" t="str">
        <f t="shared" si="2"/>
        <v/>
      </c>
      <c r="G31" s="13" t="str">
        <f t="shared" si="1"/>
        <v/>
      </c>
      <c r="I31" s="15"/>
      <c r="J31" s="15"/>
      <c r="K31" s="36"/>
      <c r="L31" s="36"/>
      <c r="M31" s="59"/>
      <c r="N31" s="36">
        <f t="shared" si="3"/>
        <v>0</v>
      </c>
      <c r="O31" s="36">
        <f t="shared" si="4"/>
        <v>0</v>
      </c>
      <c r="P31" s="61">
        <f t="shared" si="5"/>
        <v>0</v>
      </c>
      <c r="R31" s="18"/>
      <c r="S31" s="18"/>
      <c r="T31" s="21"/>
      <c r="U31" s="26"/>
      <c r="V31" s="13" t="str">
        <f t="shared" si="6"/>
        <v/>
      </c>
    </row>
    <row r="32" spans="2:22" x14ac:dyDescent="0.25">
      <c r="B32" s="3" t="str">
        <f t="shared" si="7"/>
        <v/>
      </c>
      <c r="C32" s="18"/>
      <c r="D32" s="55"/>
      <c r="E32" s="10" t="str">
        <f t="shared" si="0"/>
        <v/>
      </c>
      <c r="F32" s="89" t="str">
        <f t="shared" si="2"/>
        <v/>
      </c>
      <c r="G32" s="13" t="str">
        <f t="shared" si="1"/>
        <v/>
      </c>
      <c r="I32" s="15"/>
      <c r="J32" s="15"/>
      <c r="K32" s="36"/>
      <c r="L32" s="36"/>
      <c r="M32" s="59"/>
      <c r="N32" s="36">
        <f t="shared" si="3"/>
        <v>0</v>
      </c>
      <c r="O32" s="36">
        <f t="shared" si="4"/>
        <v>0</v>
      </c>
      <c r="P32" s="61">
        <f t="shared" si="5"/>
        <v>0</v>
      </c>
      <c r="R32" s="18"/>
      <c r="S32" s="18"/>
      <c r="T32" s="21"/>
      <c r="U32" s="26"/>
      <c r="V32" s="13" t="str">
        <f t="shared" si="6"/>
        <v/>
      </c>
    </row>
    <row r="33" spans="2:22" x14ac:dyDescent="0.25">
      <c r="B33" s="3" t="str">
        <f t="shared" si="7"/>
        <v/>
      </c>
      <c r="C33" s="18"/>
      <c r="D33" s="55"/>
      <c r="E33" s="10" t="str">
        <f t="shared" si="0"/>
        <v/>
      </c>
      <c r="F33" s="89" t="str">
        <f t="shared" si="2"/>
        <v/>
      </c>
      <c r="G33" s="13" t="str">
        <f t="shared" si="1"/>
        <v/>
      </c>
      <c r="I33" s="15"/>
      <c r="J33" s="15"/>
      <c r="K33" s="36"/>
      <c r="L33" s="36"/>
      <c r="M33" s="59"/>
      <c r="N33" s="36">
        <f t="shared" si="3"/>
        <v>0</v>
      </c>
      <c r="O33" s="36">
        <f t="shared" si="4"/>
        <v>0</v>
      </c>
      <c r="P33" s="61">
        <f t="shared" si="5"/>
        <v>0</v>
      </c>
      <c r="R33" s="18"/>
      <c r="S33" s="18"/>
      <c r="T33" s="21"/>
      <c r="U33" s="26"/>
      <c r="V33" s="13" t="str">
        <f t="shared" si="6"/>
        <v/>
      </c>
    </row>
    <row r="34" spans="2:22" x14ac:dyDescent="0.25">
      <c r="B34" s="3" t="str">
        <f t="shared" si="7"/>
        <v/>
      </c>
      <c r="C34" s="18"/>
      <c r="D34" s="55"/>
      <c r="E34" s="10" t="str">
        <f t="shared" si="0"/>
        <v/>
      </c>
      <c r="F34" s="89" t="str">
        <f t="shared" si="2"/>
        <v/>
      </c>
      <c r="G34" s="13" t="str">
        <f t="shared" si="1"/>
        <v/>
      </c>
      <c r="I34" s="15"/>
      <c r="J34" s="15"/>
      <c r="K34" s="36"/>
      <c r="L34" s="36"/>
      <c r="M34" s="59"/>
      <c r="N34" s="36">
        <f t="shared" si="3"/>
        <v>0</v>
      </c>
      <c r="O34" s="36">
        <f t="shared" si="4"/>
        <v>0</v>
      </c>
      <c r="P34" s="61">
        <f t="shared" si="5"/>
        <v>0</v>
      </c>
      <c r="R34" s="18"/>
      <c r="S34" s="18"/>
      <c r="T34" s="21"/>
      <c r="U34" s="26"/>
      <c r="V34" s="13" t="str">
        <f t="shared" si="6"/>
        <v/>
      </c>
    </row>
    <row r="35" spans="2:22" x14ac:dyDescent="0.25">
      <c r="B35" s="3" t="str">
        <f t="shared" si="7"/>
        <v/>
      </c>
      <c r="C35" s="18"/>
      <c r="D35" s="55"/>
      <c r="E35" s="10" t="str">
        <f t="shared" si="0"/>
        <v/>
      </c>
      <c r="F35" s="89" t="str">
        <f t="shared" si="2"/>
        <v/>
      </c>
      <c r="G35" s="13" t="str">
        <f t="shared" si="1"/>
        <v/>
      </c>
      <c r="I35" s="15"/>
      <c r="J35" s="15"/>
      <c r="K35" s="36"/>
      <c r="L35" s="36"/>
      <c r="M35" s="59"/>
      <c r="N35" s="36">
        <f t="shared" si="3"/>
        <v>0</v>
      </c>
      <c r="O35" s="36">
        <f t="shared" si="4"/>
        <v>0</v>
      </c>
      <c r="P35" s="61">
        <f t="shared" si="5"/>
        <v>0</v>
      </c>
      <c r="R35" s="18"/>
      <c r="S35" s="18"/>
      <c r="T35" s="21"/>
      <c r="U35" s="26"/>
      <c r="V35" s="13" t="str">
        <f t="shared" si="6"/>
        <v/>
      </c>
    </row>
    <row r="36" spans="2:22" x14ac:dyDescent="0.25">
      <c r="B36" s="3" t="str">
        <f t="shared" si="7"/>
        <v/>
      </c>
      <c r="C36" s="18"/>
      <c r="D36" s="55"/>
      <c r="E36" s="10" t="str">
        <f t="shared" si="0"/>
        <v/>
      </c>
      <c r="F36" s="89" t="str">
        <f t="shared" si="2"/>
        <v/>
      </c>
      <c r="G36" s="13" t="str">
        <f t="shared" si="1"/>
        <v/>
      </c>
      <c r="I36" s="15"/>
      <c r="J36" s="15"/>
      <c r="K36" s="36"/>
      <c r="L36" s="36"/>
      <c r="M36" s="59"/>
      <c r="N36" s="36">
        <f t="shared" si="3"/>
        <v>0</v>
      </c>
      <c r="O36" s="36">
        <f t="shared" si="4"/>
        <v>0</v>
      </c>
      <c r="P36" s="61">
        <f t="shared" si="5"/>
        <v>0</v>
      </c>
      <c r="R36" s="18"/>
      <c r="S36" s="18"/>
      <c r="T36" s="21"/>
      <c r="U36" s="26"/>
      <c r="V36" s="13" t="str">
        <f t="shared" si="6"/>
        <v/>
      </c>
    </row>
    <row r="37" spans="2:22" x14ac:dyDescent="0.25">
      <c r="B37" s="3" t="str">
        <f t="shared" si="7"/>
        <v/>
      </c>
      <c r="C37" s="18"/>
      <c r="D37" s="55"/>
      <c r="E37" s="10" t="str">
        <f t="shared" si="0"/>
        <v/>
      </c>
      <c r="F37" s="89" t="str">
        <f t="shared" si="2"/>
        <v/>
      </c>
      <c r="G37" s="13" t="str">
        <f t="shared" si="1"/>
        <v/>
      </c>
      <c r="I37" s="15"/>
      <c r="J37" s="15"/>
      <c r="K37" s="36"/>
      <c r="L37" s="36"/>
      <c r="M37" s="59"/>
      <c r="N37" s="36">
        <f t="shared" si="3"/>
        <v>0</v>
      </c>
      <c r="O37" s="36">
        <f t="shared" si="4"/>
        <v>0</v>
      </c>
      <c r="P37" s="61">
        <f t="shared" si="5"/>
        <v>0</v>
      </c>
      <c r="R37" s="18"/>
      <c r="S37" s="18"/>
      <c r="T37" s="21"/>
      <c r="U37" s="26"/>
      <c r="V37" s="13" t="str">
        <f t="shared" si="6"/>
        <v/>
      </c>
    </row>
    <row r="38" spans="2:22" x14ac:dyDescent="0.25">
      <c r="B38" s="3" t="str">
        <f t="shared" si="7"/>
        <v/>
      </c>
      <c r="C38" s="18"/>
      <c r="D38" s="55"/>
      <c r="E38" s="10" t="str">
        <f t="shared" si="0"/>
        <v/>
      </c>
      <c r="F38" s="89" t="str">
        <f t="shared" si="2"/>
        <v/>
      </c>
      <c r="G38" s="13" t="str">
        <f t="shared" si="1"/>
        <v/>
      </c>
      <c r="I38" s="15"/>
      <c r="J38" s="15"/>
      <c r="K38" s="36"/>
      <c r="L38" s="36"/>
      <c r="M38" s="59"/>
      <c r="N38" s="36">
        <f t="shared" si="3"/>
        <v>0</v>
      </c>
      <c r="O38" s="36">
        <f t="shared" si="4"/>
        <v>0</v>
      </c>
      <c r="P38" s="61">
        <f t="shared" si="5"/>
        <v>0</v>
      </c>
      <c r="R38" s="18"/>
      <c r="S38" s="18"/>
      <c r="T38" s="21"/>
      <c r="U38" s="26"/>
      <c r="V38" s="13" t="str">
        <f t="shared" si="6"/>
        <v/>
      </c>
    </row>
    <row r="39" spans="2:22" x14ac:dyDescent="0.25">
      <c r="B39" s="3" t="str">
        <f t="shared" si="7"/>
        <v/>
      </c>
      <c r="C39" s="18"/>
      <c r="D39" s="55"/>
      <c r="E39" s="10" t="str">
        <f t="shared" si="0"/>
        <v/>
      </c>
      <c r="F39" s="89" t="str">
        <f t="shared" si="2"/>
        <v/>
      </c>
      <c r="G39" s="13" t="str">
        <f t="shared" si="1"/>
        <v/>
      </c>
      <c r="I39" s="15"/>
      <c r="J39" s="15"/>
      <c r="K39" s="36"/>
      <c r="L39" s="36"/>
      <c r="M39" s="59"/>
      <c r="N39" s="36">
        <f t="shared" si="3"/>
        <v>0</v>
      </c>
      <c r="O39" s="36">
        <f t="shared" si="4"/>
        <v>0</v>
      </c>
      <c r="P39" s="61">
        <f t="shared" si="5"/>
        <v>0</v>
      </c>
      <c r="R39" s="18"/>
      <c r="S39" s="18"/>
      <c r="T39" s="21"/>
      <c r="U39" s="26"/>
      <c r="V39" s="13" t="str">
        <f t="shared" si="6"/>
        <v/>
      </c>
    </row>
    <row r="40" spans="2:22" x14ac:dyDescent="0.25">
      <c r="B40" s="3" t="str">
        <f t="shared" si="7"/>
        <v/>
      </c>
      <c r="C40" s="18"/>
      <c r="D40" s="55"/>
      <c r="E40" s="10" t="str">
        <f t="shared" si="0"/>
        <v/>
      </c>
      <c r="F40" s="89" t="str">
        <f t="shared" si="2"/>
        <v/>
      </c>
      <c r="G40" s="13" t="str">
        <f t="shared" si="1"/>
        <v/>
      </c>
      <c r="I40" s="15"/>
      <c r="J40" s="15"/>
      <c r="K40" s="36"/>
      <c r="L40" s="36"/>
      <c r="M40" s="59"/>
      <c r="N40" s="36">
        <f t="shared" si="3"/>
        <v>0</v>
      </c>
      <c r="O40" s="36">
        <f t="shared" si="4"/>
        <v>0</v>
      </c>
      <c r="P40" s="61">
        <f t="shared" si="5"/>
        <v>0</v>
      </c>
      <c r="R40" s="18"/>
      <c r="S40" s="18"/>
      <c r="T40" s="21"/>
      <c r="U40" s="26"/>
      <c r="V40" s="13" t="str">
        <f t="shared" si="6"/>
        <v/>
      </c>
    </row>
    <row r="41" spans="2:22" x14ac:dyDescent="0.25">
      <c r="B41" s="3" t="str">
        <f t="shared" si="7"/>
        <v/>
      </c>
      <c r="C41" s="18"/>
      <c r="D41" s="55"/>
      <c r="E41" s="10" t="str">
        <f t="shared" si="0"/>
        <v/>
      </c>
      <c r="F41" s="89" t="str">
        <f t="shared" si="2"/>
        <v/>
      </c>
      <c r="G41" s="13" t="str">
        <f t="shared" si="1"/>
        <v/>
      </c>
      <c r="I41" s="15"/>
      <c r="J41" s="15"/>
      <c r="K41" s="36"/>
      <c r="L41" s="36"/>
      <c r="M41" s="59"/>
      <c r="N41" s="36">
        <f t="shared" si="3"/>
        <v>0</v>
      </c>
      <c r="O41" s="36">
        <f t="shared" si="4"/>
        <v>0</v>
      </c>
      <c r="P41" s="61">
        <f t="shared" si="5"/>
        <v>0</v>
      </c>
      <c r="R41" s="18"/>
      <c r="S41" s="18"/>
      <c r="T41" s="21"/>
      <c r="U41" s="26"/>
      <c r="V41" s="13" t="str">
        <f t="shared" si="6"/>
        <v/>
      </c>
    </row>
    <row r="42" spans="2:22" x14ac:dyDescent="0.25">
      <c r="B42" s="3" t="str">
        <f t="shared" si="7"/>
        <v/>
      </c>
      <c r="C42" s="18"/>
      <c r="D42" s="55"/>
      <c r="E42" s="10" t="str">
        <f t="shared" si="0"/>
        <v/>
      </c>
      <c r="F42" s="89" t="str">
        <f t="shared" si="2"/>
        <v/>
      </c>
      <c r="G42" s="13" t="str">
        <f t="shared" si="1"/>
        <v/>
      </c>
      <c r="I42" s="15"/>
      <c r="J42" s="15"/>
      <c r="K42" s="36"/>
      <c r="L42" s="36"/>
      <c r="M42" s="59"/>
      <c r="N42" s="36">
        <f t="shared" si="3"/>
        <v>0</v>
      </c>
      <c r="O42" s="36">
        <f t="shared" si="4"/>
        <v>0</v>
      </c>
      <c r="P42" s="61">
        <f t="shared" si="5"/>
        <v>0</v>
      </c>
      <c r="R42" s="18"/>
      <c r="S42" s="18"/>
      <c r="T42" s="21"/>
      <c r="U42" s="26"/>
      <c r="V42" s="13" t="str">
        <f t="shared" si="6"/>
        <v/>
      </c>
    </row>
    <row r="43" spans="2:22" x14ac:dyDescent="0.25">
      <c r="B43" s="3" t="str">
        <f t="shared" si="7"/>
        <v/>
      </c>
      <c r="C43" s="18"/>
      <c r="D43" s="55"/>
      <c r="E43" s="10" t="str">
        <f t="shared" si="0"/>
        <v/>
      </c>
      <c r="F43" s="89" t="str">
        <f t="shared" si="2"/>
        <v/>
      </c>
      <c r="G43" s="13" t="str">
        <f t="shared" si="1"/>
        <v/>
      </c>
      <c r="I43" s="15"/>
      <c r="J43" s="15"/>
      <c r="K43" s="36"/>
      <c r="L43" s="36"/>
      <c r="M43" s="59"/>
      <c r="N43" s="36">
        <f t="shared" si="3"/>
        <v>0</v>
      </c>
      <c r="O43" s="36">
        <f t="shared" si="4"/>
        <v>0</v>
      </c>
      <c r="P43" s="61">
        <f t="shared" si="5"/>
        <v>0</v>
      </c>
      <c r="R43" s="18"/>
      <c r="S43" s="18"/>
      <c r="T43" s="21"/>
      <c r="U43" s="26"/>
      <c r="V43" s="13" t="str">
        <f t="shared" si="6"/>
        <v/>
      </c>
    </row>
    <row r="44" spans="2:22" x14ac:dyDescent="0.25">
      <c r="B44" s="3" t="str">
        <f t="shared" si="7"/>
        <v/>
      </c>
      <c r="C44" s="18"/>
      <c r="D44" s="55"/>
      <c r="E44" s="10" t="str">
        <f t="shared" si="0"/>
        <v/>
      </c>
      <c r="F44" s="89" t="str">
        <f t="shared" si="2"/>
        <v/>
      </c>
      <c r="G44" s="13" t="str">
        <f t="shared" si="1"/>
        <v/>
      </c>
      <c r="I44" s="15"/>
      <c r="J44" s="15"/>
      <c r="K44" s="36"/>
      <c r="L44" s="36"/>
      <c r="M44" s="59"/>
      <c r="N44" s="36">
        <f t="shared" si="3"/>
        <v>0</v>
      </c>
      <c r="O44" s="36">
        <f t="shared" si="4"/>
        <v>0</v>
      </c>
      <c r="P44" s="61">
        <f t="shared" si="5"/>
        <v>0</v>
      </c>
      <c r="R44" s="18"/>
      <c r="S44" s="18"/>
      <c r="T44" s="21"/>
      <c r="U44" s="26"/>
      <c r="V44" s="13" t="str">
        <f t="shared" si="6"/>
        <v/>
      </c>
    </row>
    <row r="45" spans="2:22" x14ac:dyDescent="0.25">
      <c r="B45" s="32" t="str">
        <f t="shared" si="7"/>
        <v/>
      </c>
      <c r="C45" s="33"/>
      <c r="D45" s="56"/>
      <c r="E45" s="34" t="str">
        <f t="shared" si="0"/>
        <v/>
      </c>
      <c r="F45" s="90" t="str">
        <f t="shared" si="2"/>
        <v/>
      </c>
      <c r="G45" s="35" t="str">
        <f t="shared" si="1"/>
        <v/>
      </c>
      <c r="I45" s="15"/>
      <c r="J45" s="15"/>
      <c r="K45" s="36"/>
      <c r="L45" s="36"/>
      <c r="M45" s="59"/>
      <c r="N45" s="36">
        <f t="shared" si="3"/>
        <v>0</v>
      </c>
      <c r="O45" s="36">
        <f t="shared" si="4"/>
        <v>0</v>
      </c>
      <c r="P45" s="61">
        <f t="shared" si="5"/>
        <v>0</v>
      </c>
      <c r="R45" s="18"/>
      <c r="S45" s="18"/>
      <c r="T45" s="21"/>
      <c r="U45" s="26"/>
      <c r="V45" s="13" t="str">
        <f t="shared" si="6"/>
        <v/>
      </c>
    </row>
    <row r="46" spans="2:22" ht="15.75" thickBot="1" x14ac:dyDescent="0.3">
      <c r="B46" s="4" t="str">
        <f t="shared" si="7"/>
        <v/>
      </c>
      <c r="C46" s="19"/>
      <c r="D46" s="57"/>
      <c r="E46" s="11" t="str">
        <f t="shared" si="0"/>
        <v/>
      </c>
      <c r="F46" s="91" t="str">
        <f t="shared" si="2"/>
        <v/>
      </c>
      <c r="G46" s="14" t="str">
        <f t="shared" si="1"/>
        <v/>
      </c>
      <c r="I46" s="15"/>
      <c r="J46" s="15"/>
      <c r="K46" s="36"/>
      <c r="L46" s="36"/>
      <c r="M46" s="59"/>
      <c r="N46" s="36">
        <f t="shared" si="3"/>
        <v>0</v>
      </c>
      <c r="O46" s="36">
        <f t="shared" si="4"/>
        <v>0</v>
      </c>
      <c r="P46" s="61">
        <f t="shared" si="5"/>
        <v>0</v>
      </c>
      <c r="R46" s="18"/>
      <c r="S46" s="18"/>
      <c r="T46" s="21"/>
      <c r="U46" s="26"/>
      <c r="V46" s="13" t="str">
        <f t="shared" si="6"/>
        <v/>
      </c>
    </row>
    <row r="47" spans="2:22" x14ac:dyDescent="0.25">
      <c r="I47" s="15"/>
      <c r="J47" s="15"/>
      <c r="K47" s="36"/>
      <c r="L47" s="36"/>
      <c r="M47" s="59"/>
      <c r="N47" s="36">
        <f t="shared" si="3"/>
        <v>0</v>
      </c>
      <c r="O47" s="36">
        <f t="shared" si="4"/>
        <v>0</v>
      </c>
      <c r="P47" s="61">
        <f t="shared" si="5"/>
        <v>0</v>
      </c>
      <c r="R47" s="18"/>
      <c r="S47" s="18"/>
      <c r="T47" s="21"/>
      <c r="U47" s="26"/>
      <c r="V47" s="13" t="str">
        <f t="shared" si="6"/>
        <v/>
      </c>
    </row>
    <row r="48" spans="2:22" x14ac:dyDescent="0.25">
      <c r="I48" s="15"/>
      <c r="J48" s="15"/>
      <c r="K48" s="36"/>
      <c r="L48" s="36"/>
      <c r="M48" s="59"/>
      <c r="N48" s="36">
        <f t="shared" si="3"/>
        <v>0</v>
      </c>
      <c r="O48" s="36">
        <f t="shared" si="4"/>
        <v>0</v>
      </c>
      <c r="P48" s="61">
        <f t="shared" si="5"/>
        <v>0</v>
      </c>
      <c r="R48" s="18"/>
      <c r="S48" s="18"/>
      <c r="T48" s="21"/>
      <c r="U48" s="26"/>
      <c r="V48" s="13" t="str">
        <f t="shared" si="6"/>
        <v/>
      </c>
    </row>
    <row r="49" spans="9:22" x14ac:dyDescent="0.25">
      <c r="I49" s="15"/>
      <c r="J49" s="15"/>
      <c r="K49" s="36"/>
      <c r="L49" s="36"/>
      <c r="M49" s="59"/>
      <c r="N49" s="36">
        <f t="shared" si="3"/>
        <v>0</v>
      </c>
      <c r="O49" s="36">
        <f t="shared" si="4"/>
        <v>0</v>
      </c>
      <c r="P49" s="61">
        <f t="shared" si="5"/>
        <v>0</v>
      </c>
      <c r="R49" s="18"/>
      <c r="S49" s="18"/>
      <c r="T49" s="21"/>
      <c r="U49" s="26"/>
      <c r="V49" s="13" t="str">
        <f t="shared" si="6"/>
        <v/>
      </c>
    </row>
    <row r="50" spans="9:22" x14ac:dyDescent="0.25">
      <c r="I50" s="15"/>
      <c r="J50" s="15"/>
      <c r="K50" s="36"/>
      <c r="L50" s="36"/>
      <c r="M50" s="59"/>
      <c r="N50" s="36">
        <f t="shared" si="3"/>
        <v>0</v>
      </c>
      <c r="O50" s="36">
        <f t="shared" si="4"/>
        <v>0</v>
      </c>
      <c r="P50" s="61">
        <f t="shared" si="5"/>
        <v>0</v>
      </c>
      <c r="R50" s="18"/>
      <c r="S50" s="18"/>
      <c r="T50" s="21"/>
      <c r="U50" s="26"/>
      <c r="V50" s="13" t="str">
        <f t="shared" si="6"/>
        <v/>
      </c>
    </row>
    <row r="51" spans="9:22" x14ac:dyDescent="0.25">
      <c r="I51" s="15"/>
      <c r="J51" s="15"/>
      <c r="K51" s="36"/>
      <c r="L51" s="36"/>
      <c r="M51" s="59"/>
      <c r="N51" s="36">
        <f t="shared" si="3"/>
        <v>0</v>
      </c>
      <c r="O51" s="36">
        <f t="shared" si="4"/>
        <v>0</v>
      </c>
      <c r="P51" s="61">
        <f t="shared" si="5"/>
        <v>0</v>
      </c>
      <c r="R51" s="18"/>
      <c r="S51" s="18"/>
      <c r="T51" s="21"/>
      <c r="U51" s="26"/>
      <c r="V51" s="13" t="str">
        <f t="shared" si="6"/>
        <v/>
      </c>
    </row>
    <row r="52" spans="9:22" x14ac:dyDescent="0.25">
      <c r="I52" s="15"/>
      <c r="J52" s="15"/>
      <c r="K52" s="36"/>
      <c r="L52" s="36"/>
      <c r="M52" s="59"/>
      <c r="N52" s="36">
        <f t="shared" si="3"/>
        <v>0</v>
      </c>
      <c r="O52" s="36">
        <f t="shared" si="4"/>
        <v>0</v>
      </c>
      <c r="P52" s="61">
        <f t="shared" si="5"/>
        <v>0</v>
      </c>
      <c r="R52" s="18"/>
      <c r="S52" s="18"/>
      <c r="T52" s="21"/>
      <c r="U52" s="26"/>
      <c r="V52" s="13" t="str">
        <f t="shared" si="6"/>
        <v/>
      </c>
    </row>
    <row r="53" spans="9:22" x14ac:dyDescent="0.25">
      <c r="I53" s="15"/>
      <c r="J53" s="15"/>
      <c r="K53" s="36"/>
      <c r="L53" s="36"/>
      <c r="M53" s="59"/>
      <c r="N53" s="36">
        <f t="shared" si="3"/>
        <v>0</v>
      </c>
      <c r="O53" s="36">
        <f t="shared" si="4"/>
        <v>0</v>
      </c>
      <c r="P53" s="61">
        <f t="shared" si="5"/>
        <v>0</v>
      </c>
      <c r="R53" s="18"/>
      <c r="S53" s="18"/>
      <c r="T53" s="21"/>
      <c r="U53" s="26"/>
      <c r="V53" s="13" t="str">
        <f t="shared" si="6"/>
        <v/>
      </c>
    </row>
    <row r="54" spans="9:22" x14ac:dyDescent="0.25">
      <c r="I54" s="15"/>
      <c r="J54" s="15"/>
      <c r="K54" s="36"/>
      <c r="L54" s="36"/>
      <c r="M54" s="59"/>
      <c r="N54" s="36">
        <f t="shared" si="3"/>
        <v>0</v>
      </c>
      <c r="O54" s="36">
        <f t="shared" si="4"/>
        <v>0</v>
      </c>
      <c r="P54" s="61">
        <f t="shared" si="5"/>
        <v>0</v>
      </c>
      <c r="R54" s="18"/>
      <c r="S54" s="18"/>
      <c r="T54" s="21"/>
      <c r="U54" s="26"/>
      <c r="V54" s="13" t="str">
        <f t="shared" si="6"/>
        <v/>
      </c>
    </row>
    <row r="55" spans="9:22" x14ac:dyDescent="0.25">
      <c r="I55" s="15"/>
      <c r="J55" s="15"/>
      <c r="K55" s="36"/>
      <c r="L55" s="36"/>
      <c r="M55" s="59"/>
      <c r="N55" s="36">
        <f t="shared" si="3"/>
        <v>0</v>
      </c>
      <c r="O55" s="36">
        <f t="shared" si="4"/>
        <v>0</v>
      </c>
      <c r="P55" s="61">
        <f t="shared" si="5"/>
        <v>0</v>
      </c>
      <c r="R55" s="18"/>
      <c r="S55" s="18"/>
      <c r="T55" s="21"/>
      <c r="U55" s="26"/>
      <c r="V55" s="13" t="str">
        <f t="shared" si="6"/>
        <v/>
      </c>
    </row>
    <row r="56" spans="9:22" x14ac:dyDescent="0.25">
      <c r="I56" s="15"/>
      <c r="J56" s="15"/>
      <c r="K56" s="36"/>
      <c r="L56" s="36"/>
      <c r="M56" s="59"/>
      <c r="N56" s="36">
        <f t="shared" si="3"/>
        <v>0</v>
      </c>
      <c r="O56" s="36">
        <f t="shared" si="4"/>
        <v>0</v>
      </c>
      <c r="P56" s="61">
        <f t="shared" si="5"/>
        <v>0</v>
      </c>
      <c r="R56" s="18"/>
      <c r="S56" s="18"/>
      <c r="T56" s="21"/>
      <c r="U56" s="26"/>
      <c r="V56" s="13" t="str">
        <f t="shared" si="6"/>
        <v/>
      </c>
    </row>
    <row r="57" spans="9:22" x14ac:dyDescent="0.25">
      <c r="I57" s="15"/>
      <c r="J57" s="15"/>
      <c r="K57" s="36"/>
      <c r="L57" s="36"/>
      <c r="M57" s="59"/>
      <c r="N57" s="36">
        <f t="shared" si="3"/>
        <v>0</v>
      </c>
      <c r="O57" s="36">
        <f t="shared" si="4"/>
        <v>0</v>
      </c>
      <c r="P57" s="61">
        <f t="shared" si="5"/>
        <v>0</v>
      </c>
      <c r="R57" s="18"/>
      <c r="S57" s="18"/>
      <c r="T57" s="21"/>
      <c r="U57" s="26"/>
      <c r="V57" s="13" t="str">
        <f t="shared" si="6"/>
        <v/>
      </c>
    </row>
    <row r="58" spans="9:22" x14ac:dyDescent="0.25">
      <c r="I58" s="15"/>
      <c r="J58" s="15"/>
      <c r="K58" s="36"/>
      <c r="L58" s="36"/>
      <c r="M58" s="59"/>
      <c r="N58" s="36">
        <f t="shared" si="3"/>
        <v>0</v>
      </c>
      <c r="O58" s="36">
        <f t="shared" si="4"/>
        <v>0</v>
      </c>
      <c r="P58" s="61">
        <f t="shared" si="5"/>
        <v>0</v>
      </c>
      <c r="R58" s="18"/>
      <c r="S58" s="18"/>
      <c r="T58" s="21"/>
      <c r="U58" s="26"/>
      <c r="V58" s="13" t="str">
        <f t="shared" si="6"/>
        <v/>
      </c>
    </row>
    <row r="59" spans="9:22" x14ac:dyDescent="0.25">
      <c r="I59" s="15"/>
      <c r="J59" s="15"/>
      <c r="K59" s="36"/>
      <c r="L59" s="36"/>
      <c r="M59" s="59"/>
      <c r="N59" s="36">
        <f t="shared" si="3"/>
        <v>0</v>
      </c>
      <c r="O59" s="36">
        <f t="shared" si="4"/>
        <v>0</v>
      </c>
      <c r="P59" s="61">
        <f t="shared" si="5"/>
        <v>0</v>
      </c>
      <c r="R59" s="18"/>
      <c r="S59" s="18"/>
      <c r="T59" s="21"/>
      <c r="U59" s="26"/>
      <c r="V59" s="13" t="str">
        <f t="shared" si="6"/>
        <v/>
      </c>
    </row>
    <row r="60" spans="9:22" x14ac:dyDescent="0.25">
      <c r="I60" s="15"/>
      <c r="J60" s="15"/>
      <c r="K60" s="36"/>
      <c r="L60" s="36"/>
      <c r="M60" s="59"/>
      <c r="N60" s="36">
        <f t="shared" si="3"/>
        <v>0</v>
      </c>
      <c r="O60" s="36">
        <f t="shared" si="4"/>
        <v>0</v>
      </c>
      <c r="P60" s="61">
        <f t="shared" si="5"/>
        <v>0</v>
      </c>
      <c r="R60" s="18"/>
      <c r="S60" s="18"/>
      <c r="T60" s="21"/>
      <c r="U60" s="26"/>
      <c r="V60" s="13" t="str">
        <f t="shared" si="6"/>
        <v/>
      </c>
    </row>
    <row r="61" spans="9:22" x14ac:dyDescent="0.25">
      <c r="I61" s="15"/>
      <c r="J61" s="15"/>
      <c r="K61" s="36"/>
      <c r="L61" s="36"/>
      <c r="M61" s="59"/>
      <c r="N61" s="36">
        <f t="shared" si="3"/>
        <v>0</v>
      </c>
      <c r="O61" s="36">
        <f t="shared" si="4"/>
        <v>0</v>
      </c>
      <c r="P61" s="61">
        <f t="shared" si="5"/>
        <v>0</v>
      </c>
      <c r="R61" s="18"/>
      <c r="S61" s="18"/>
      <c r="T61" s="21"/>
      <c r="U61" s="26"/>
      <c r="V61" s="13" t="str">
        <f t="shared" si="6"/>
        <v/>
      </c>
    </row>
    <row r="62" spans="9:22" x14ac:dyDescent="0.25">
      <c r="I62" s="15"/>
      <c r="J62" s="15"/>
      <c r="K62" s="36"/>
      <c r="L62" s="36"/>
      <c r="M62" s="59"/>
      <c r="N62" s="36">
        <f t="shared" si="3"/>
        <v>0</v>
      </c>
      <c r="O62" s="36">
        <f t="shared" si="4"/>
        <v>0</v>
      </c>
      <c r="P62" s="61">
        <f t="shared" si="5"/>
        <v>0</v>
      </c>
      <c r="R62" s="18"/>
      <c r="S62" s="18"/>
      <c r="T62" s="21"/>
      <c r="U62" s="26"/>
      <c r="V62" s="13" t="str">
        <f t="shared" si="6"/>
        <v/>
      </c>
    </row>
    <row r="63" spans="9:22" x14ac:dyDescent="0.25">
      <c r="I63" s="15"/>
      <c r="J63" s="15"/>
      <c r="K63" s="36"/>
      <c r="L63" s="36"/>
      <c r="M63" s="59"/>
      <c r="N63" s="36">
        <f t="shared" si="3"/>
        <v>0</v>
      </c>
      <c r="O63" s="36">
        <f t="shared" si="4"/>
        <v>0</v>
      </c>
      <c r="P63" s="61">
        <f t="shared" si="5"/>
        <v>0</v>
      </c>
      <c r="R63" s="18"/>
      <c r="S63" s="18"/>
      <c r="T63" s="21"/>
      <c r="U63" s="26"/>
      <c r="V63" s="13" t="str">
        <f t="shared" si="6"/>
        <v/>
      </c>
    </row>
    <row r="64" spans="9:22" x14ac:dyDescent="0.25">
      <c r="I64" s="15"/>
      <c r="J64" s="15"/>
      <c r="K64" s="36"/>
      <c r="L64" s="36"/>
      <c r="M64" s="59"/>
      <c r="N64" s="36">
        <f t="shared" si="3"/>
        <v>0</v>
      </c>
      <c r="O64" s="36">
        <f t="shared" si="4"/>
        <v>0</v>
      </c>
      <c r="P64" s="61">
        <f t="shared" si="5"/>
        <v>0</v>
      </c>
      <c r="R64" s="18"/>
      <c r="S64" s="18"/>
      <c r="T64" s="21"/>
      <c r="U64" s="26"/>
      <c r="V64" s="13" t="str">
        <f t="shared" si="6"/>
        <v/>
      </c>
    </row>
    <row r="65" spans="9:22" x14ac:dyDescent="0.25">
      <c r="I65" s="15"/>
      <c r="J65" s="15"/>
      <c r="K65" s="36"/>
      <c r="L65" s="36"/>
      <c r="M65" s="59"/>
      <c r="N65" s="36">
        <f t="shared" si="3"/>
        <v>0</v>
      </c>
      <c r="O65" s="36">
        <f t="shared" si="4"/>
        <v>0</v>
      </c>
      <c r="P65" s="61">
        <f t="shared" si="5"/>
        <v>0</v>
      </c>
      <c r="R65" s="18"/>
      <c r="S65" s="18"/>
      <c r="T65" s="21"/>
      <c r="U65" s="26"/>
      <c r="V65" s="13" t="str">
        <f t="shared" si="6"/>
        <v/>
      </c>
    </row>
    <row r="66" spans="9:22" x14ac:dyDescent="0.25">
      <c r="I66" s="15"/>
      <c r="J66" s="15"/>
      <c r="K66" s="36"/>
      <c r="L66" s="36"/>
      <c r="M66" s="59"/>
      <c r="N66" s="36">
        <f t="shared" si="3"/>
        <v>0</v>
      </c>
      <c r="O66" s="36">
        <f t="shared" si="4"/>
        <v>0</v>
      </c>
      <c r="P66" s="61">
        <f t="shared" si="5"/>
        <v>0</v>
      </c>
      <c r="R66" s="18"/>
      <c r="S66" s="18"/>
      <c r="T66" s="21"/>
      <c r="U66" s="26"/>
      <c r="V66" s="13" t="str">
        <f t="shared" si="6"/>
        <v/>
      </c>
    </row>
    <row r="67" spans="9:22" x14ac:dyDescent="0.25">
      <c r="I67" s="15"/>
      <c r="J67" s="15"/>
      <c r="K67" s="36"/>
      <c r="L67" s="36"/>
      <c r="M67" s="59"/>
      <c r="N67" s="36">
        <f t="shared" si="3"/>
        <v>0</v>
      </c>
      <c r="O67" s="36">
        <f t="shared" si="4"/>
        <v>0</v>
      </c>
      <c r="P67" s="61">
        <f t="shared" si="5"/>
        <v>0</v>
      </c>
      <c r="R67" s="18"/>
      <c r="S67" s="18"/>
      <c r="T67" s="21"/>
      <c r="U67" s="26"/>
      <c r="V67" s="13" t="str">
        <f t="shared" si="6"/>
        <v/>
      </c>
    </row>
    <row r="68" spans="9:22" x14ac:dyDescent="0.25">
      <c r="I68" s="15"/>
      <c r="J68" s="15"/>
      <c r="K68" s="36"/>
      <c r="L68" s="36"/>
      <c r="M68" s="59"/>
      <c r="N68" s="36">
        <f t="shared" si="3"/>
        <v>0</v>
      </c>
      <c r="O68" s="36">
        <f t="shared" si="4"/>
        <v>0</v>
      </c>
      <c r="P68" s="61">
        <f t="shared" si="5"/>
        <v>0</v>
      </c>
      <c r="R68" s="18"/>
      <c r="S68" s="18"/>
      <c r="T68" s="21"/>
      <c r="U68" s="26"/>
      <c r="V68" s="13" t="str">
        <f t="shared" si="6"/>
        <v/>
      </c>
    </row>
    <row r="69" spans="9:22" x14ac:dyDescent="0.25">
      <c r="I69" s="15"/>
      <c r="J69" s="15"/>
      <c r="K69" s="36"/>
      <c r="L69" s="36"/>
      <c r="M69" s="59"/>
      <c r="N69" s="36">
        <f t="shared" si="3"/>
        <v>0</v>
      </c>
      <c r="O69" s="36">
        <f t="shared" si="4"/>
        <v>0</v>
      </c>
      <c r="P69" s="61">
        <f t="shared" si="5"/>
        <v>0</v>
      </c>
      <c r="R69" s="18"/>
      <c r="S69" s="18"/>
      <c r="T69" s="21"/>
      <c r="U69" s="26"/>
      <c r="V69" s="13" t="str">
        <f t="shared" si="6"/>
        <v/>
      </c>
    </row>
    <row r="70" spans="9:22" x14ac:dyDescent="0.25">
      <c r="I70" s="15"/>
      <c r="J70" s="15"/>
      <c r="K70" s="36"/>
      <c r="L70" s="36"/>
      <c r="M70" s="59"/>
      <c r="N70" s="36">
        <f t="shared" si="3"/>
        <v>0</v>
      </c>
      <c r="O70" s="36">
        <f t="shared" si="4"/>
        <v>0</v>
      </c>
      <c r="P70" s="61">
        <f t="shared" si="5"/>
        <v>0</v>
      </c>
      <c r="R70" s="18"/>
      <c r="S70" s="18"/>
      <c r="T70" s="21"/>
      <c r="U70" s="26"/>
      <c r="V70" s="13" t="str">
        <f t="shared" si="6"/>
        <v/>
      </c>
    </row>
    <row r="71" spans="9:22" x14ac:dyDescent="0.25">
      <c r="I71" s="15"/>
      <c r="J71" s="15"/>
      <c r="K71" s="36"/>
      <c r="L71" s="36"/>
      <c r="M71" s="59"/>
      <c r="N71" s="36">
        <f t="shared" si="3"/>
        <v>0</v>
      </c>
      <c r="O71" s="36">
        <f t="shared" si="4"/>
        <v>0</v>
      </c>
      <c r="P71" s="61">
        <f t="shared" si="5"/>
        <v>0</v>
      </c>
      <c r="R71" s="18"/>
      <c r="S71" s="18"/>
      <c r="T71" s="21"/>
      <c r="U71" s="26"/>
      <c r="V71" s="13" t="str">
        <f t="shared" si="6"/>
        <v/>
      </c>
    </row>
    <row r="72" spans="9:22" x14ac:dyDescent="0.25">
      <c r="I72" s="15"/>
      <c r="J72" s="15"/>
      <c r="K72" s="36"/>
      <c r="L72" s="36"/>
      <c r="M72" s="59"/>
      <c r="N72" s="36">
        <f t="shared" ref="N72:N105" si="8">M72*K72</f>
        <v>0</v>
      </c>
      <c r="O72" s="36">
        <f t="shared" ref="O72:O105" si="9">L72*M72</f>
        <v>0</v>
      </c>
      <c r="P72" s="61">
        <f t="shared" ref="P72:P105" si="10">(N72*$J$2)+(O72*$J$4)</f>
        <v>0</v>
      </c>
      <c r="R72" s="18"/>
      <c r="S72" s="18"/>
      <c r="T72" s="21"/>
      <c r="U72" s="26"/>
      <c r="V72" s="13" t="str">
        <f t="shared" ref="V72:V105" si="11">IF(R72="","",T72*(U72+1))</f>
        <v/>
      </c>
    </row>
    <row r="73" spans="9:22" x14ac:dyDescent="0.25">
      <c r="I73" s="15"/>
      <c r="J73" s="15"/>
      <c r="K73" s="36"/>
      <c r="L73" s="36"/>
      <c r="M73" s="59"/>
      <c r="N73" s="36">
        <f t="shared" si="8"/>
        <v>0</v>
      </c>
      <c r="O73" s="36">
        <f t="shared" si="9"/>
        <v>0</v>
      </c>
      <c r="P73" s="61">
        <f t="shared" si="10"/>
        <v>0</v>
      </c>
      <c r="R73" s="18"/>
      <c r="S73" s="18"/>
      <c r="T73" s="21"/>
      <c r="U73" s="26"/>
      <c r="V73" s="13" t="str">
        <f t="shared" si="11"/>
        <v/>
      </c>
    </row>
    <row r="74" spans="9:22" x14ac:dyDescent="0.25">
      <c r="I74" s="15"/>
      <c r="J74" s="15"/>
      <c r="K74" s="36"/>
      <c r="L74" s="36"/>
      <c r="M74" s="59"/>
      <c r="N74" s="36">
        <f t="shared" si="8"/>
        <v>0</v>
      </c>
      <c r="O74" s="36">
        <f t="shared" si="9"/>
        <v>0</v>
      </c>
      <c r="P74" s="61">
        <f t="shared" si="10"/>
        <v>0</v>
      </c>
      <c r="R74" s="18"/>
      <c r="S74" s="18"/>
      <c r="T74" s="21"/>
      <c r="U74" s="26"/>
      <c r="V74" s="13" t="str">
        <f t="shared" si="11"/>
        <v/>
      </c>
    </row>
    <row r="75" spans="9:22" x14ac:dyDescent="0.25">
      <c r="I75" s="15"/>
      <c r="J75" s="15"/>
      <c r="K75" s="36"/>
      <c r="L75" s="36"/>
      <c r="M75" s="59"/>
      <c r="N75" s="36">
        <f t="shared" si="8"/>
        <v>0</v>
      </c>
      <c r="O75" s="36">
        <f t="shared" si="9"/>
        <v>0</v>
      </c>
      <c r="P75" s="61">
        <f t="shared" si="10"/>
        <v>0</v>
      </c>
      <c r="R75" s="18"/>
      <c r="S75" s="18"/>
      <c r="T75" s="21"/>
      <c r="U75" s="26"/>
      <c r="V75" s="13" t="str">
        <f t="shared" si="11"/>
        <v/>
      </c>
    </row>
    <row r="76" spans="9:22" x14ac:dyDescent="0.25">
      <c r="I76" s="15"/>
      <c r="J76" s="15"/>
      <c r="K76" s="36"/>
      <c r="L76" s="36"/>
      <c r="M76" s="59"/>
      <c r="N76" s="36">
        <f t="shared" si="8"/>
        <v>0</v>
      </c>
      <c r="O76" s="36">
        <f t="shared" si="9"/>
        <v>0</v>
      </c>
      <c r="P76" s="61">
        <f t="shared" si="10"/>
        <v>0</v>
      </c>
      <c r="R76" s="18"/>
      <c r="S76" s="18"/>
      <c r="T76" s="21"/>
      <c r="U76" s="26"/>
      <c r="V76" s="13" t="str">
        <f t="shared" si="11"/>
        <v/>
      </c>
    </row>
    <row r="77" spans="9:22" x14ac:dyDescent="0.25">
      <c r="I77" s="15"/>
      <c r="J77" s="15"/>
      <c r="K77" s="36"/>
      <c r="L77" s="36"/>
      <c r="M77" s="59"/>
      <c r="N77" s="36">
        <f t="shared" si="8"/>
        <v>0</v>
      </c>
      <c r="O77" s="36">
        <f t="shared" si="9"/>
        <v>0</v>
      </c>
      <c r="P77" s="61">
        <f t="shared" si="10"/>
        <v>0</v>
      </c>
      <c r="R77" s="18"/>
      <c r="S77" s="18"/>
      <c r="T77" s="21"/>
      <c r="U77" s="26"/>
      <c r="V77" s="13" t="str">
        <f t="shared" si="11"/>
        <v/>
      </c>
    </row>
    <row r="78" spans="9:22" x14ac:dyDescent="0.25">
      <c r="I78" s="15"/>
      <c r="J78" s="15"/>
      <c r="K78" s="36"/>
      <c r="L78" s="36"/>
      <c r="M78" s="59"/>
      <c r="N78" s="36">
        <f t="shared" si="8"/>
        <v>0</v>
      </c>
      <c r="O78" s="36">
        <f t="shared" si="9"/>
        <v>0</v>
      </c>
      <c r="P78" s="61">
        <f t="shared" si="10"/>
        <v>0</v>
      </c>
      <c r="R78" s="18"/>
      <c r="S78" s="18"/>
      <c r="T78" s="21"/>
      <c r="U78" s="26"/>
      <c r="V78" s="13" t="str">
        <f t="shared" si="11"/>
        <v/>
      </c>
    </row>
    <row r="79" spans="9:22" x14ac:dyDescent="0.25">
      <c r="I79" s="15"/>
      <c r="J79" s="15"/>
      <c r="K79" s="36"/>
      <c r="L79" s="36"/>
      <c r="M79" s="59"/>
      <c r="N79" s="36">
        <f t="shared" si="8"/>
        <v>0</v>
      </c>
      <c r="O79" s="36">
        <f t="shared" si="9"/>
        <v>0</v>
      </c>
      <c r="P79" s="61">
        <f t="shared" si="10"/>
        <v>0</v>
      </c>
      <c r="R79" s="18"/>
      <c r="S79" s="18"/>
      <c r="T79" s="21"/>
      <c r="U79" s="26"/>
      <c r="V79" s="13" t="str">
        <f t="shared" si="11"/>
        <v/>
      </c>
    </row>
    <row r="80" spans="9:22" x14ac:dyDescent="0.25">
      <c r="I80" s="15"/>
      <c r="J80" s="15"/>
      <c r="K80" s="36"/>
      <c r="L80" s="36"/>
      <c r="M80" s="59"/>
      <c r="N80" s="36">
        <f t="shared" si="8"/>
        <v>0</v>
      </c>
      <c r="O80" s="36">
        <f t="shared" si="9"/>
        <v>0</v>
      </c>
      <c r="P80" s="61">
        <f t="shared" si="10"/>
        <v>0</v>
      </c>
      <c r="R80" s="18"/>
      <c r="S80" s="18"/>
      <c r="T80" s="21"/>
      <c r="U80" s="26"/>
      <c r="V80" s="13" t="str">
        <f t="shared" si="11"/>
        <v/>
      </c>
    </row>
    <row r="81" spans="9:22" x14ac:dyDescent="0.25">
      <c r="I81" s="15"/>
      <c r="J81" s="15"/>
      <c r="K81" s="36"/>
      <c r="L81" s="36"/>
      <c r="M81" s="59"/>
      <c r="N81" s="36">
        <f t="shared" si="8"/>
        <v>0</v>
      </c>
      <c r="O81" s="36">
        <f t="shared" si="9"/>
        <v>0</v>
      </c>
      <c r="P81" s="61">
        <f t="shared" si="10"/>
        <v>0</v>
      </c>
      <c r="R81" s="18"/>
      <c r="S81" s="18"/>
      <c r="T81" s="21"/>
      <c r="U81" s="26"/>
      <c r="V81" s="13" t="str">
        <f t="shared" si="11"/>
        <v/>
      </c>
    </row>
    <row r="82" spans="9:22" x14ac:dyDescent="0.25">
      <c r="I82" s="15"/>
      <c r="J82" s="15"/>
      <c r="K82" s="36"/>
      <c r="L82" s="36"/>
      <c r="M82" s="59"/>
      <c r="N82" s="36">
        <f t="shared" si="8"/>
        <v>0</v>
      </c>
      <c r="O82" s="36">
        <f t="shared" si="9"/>
        <v>0</v>
      </c>
      <c r="P82" s="61">
        <f t="shared" si="10"/>
        <v>0</v>
      </c>
      <c r="R82" s="18"/>
      <c r="S82" s="18"/>
      <c r="T82" s="21"/>
      <c r="U82" s="26"/>
      <c r="V82" s="13" t="str">
        <f t="shared" si="11"/>
        <v/>
      </c>
    </row>
    <row r="83" spans="9:22" x14ac:dyDescent="0.25">
      <c r="I83" s="15"/>
      <c r="J83" s="15"/>
      <c r="K83" s="36"/>
      <c r="L83" s="36"/>
      <c r="M83" s="59"/>
      <c r="N83" s="36">
        <f t="shared" si="8"/>
        <v>0</v>
      </c>
      <c r="O83" s="36">
        <f t="shared" si="9"/>
        <v>0</v>
      </c>
      <c r="P83" s="61">
        <f t="shared" si="10"/>
        <v>0</v>
      </c>
      <c r="R83" s="18"/>
      <c r="S83" s="18"/>
      <c r="T83" s="21"/>
      <c r="U83" s="26"/>
      <c r="V83" s="13" t="str">
        <f t="shared" si="11"/>
        <v/>
      </c>
    </row>
    <row r="84" spans="9:22" x14ac:dyDescent="0.25">
      <c r="I84" s="15"/>
      <c r="J84" s="15"/>
      <c r="K84" s="36"/>
      <c r="L84" s="36"/>
      <c r="M84" s="59"/>
      <c r="N84" s="36">
        <f t="shared" si="8"/>
        <v>0</v>
      </c>
      <c r="O84" s="36">
        <f t="shared" si="9"/>
        <v>0</v>
      </c>
      <c r="P84" s="61">
        <f t="shared" si="10"/>
        <v>0</v>
      </c>
      <c r="R84" s="18"/>
      <c r="S84" s="18"/>
      <c r="T84" s="21"/>
      <c r="U84" s="26"/>
      <c r="V84" s="13" t="str">
        <f t="shared" si="11"/>
        <v/>
      </c>
    </row>
    <row r="85" spans="9:22" x14ac:dyDescent="0.25">
      <c r="I85" s="15"/>
      <c r="J85" s="15"/>
      <c r="K85" s="36"/>
      <c r="L85" s="36"/>
      <c r="M85" s="59"/>
      <c r="N85" s="36">
        <f t="shared" si="8"/>
        <v>0</v>
      </c>
      <c r="O85" s="36">
        <f t="shared" si="9"/>
        <v>0</v>
      </c>
      <c r="P85" s="61">
        <f t="shared" si="10"/>
        <v>0</v>
      </c>
      <c r="R85" s="18"/>
      <c r="S85" s="18"/>
      <c r="T85" s="21"/>
      <c r="U85" s="26"/>
      <c r="V85" s="13" t="str">
        <f t="shared" si="11"/>
        <v/>
      </c>
    </row>
    <row r="86" spans="9:22" x14ac:dyDescent="0.25">
      <c r="I86" s="15"/>
      <c r="J86" s="15"/>
      <c r="K86" s="36"/>
      <c r="L86" s="36"/>
      <c r="M86" s="59"/>
      <c r="N86" s="36">
        <f t="shared" si="8"/>
        <v>0</v>
      </c>
      <c r="O86" s="36">
        <f t="shared" si="9"/>
        <v>0</v>
      </c>
      <c r="P86" s="61">
        <f t="shared" si="10"/>
        <v>0</v>
      </c>
      <c r="R86" s="18"/>
      <c r="S86" s="18"/>
      <c r="T86" s="21"/>
      <c r="U86" s="26"/>
      <c r="V86" s="13" t="str">
        <f t="shared" si="11"/>
        <v/>
      </c>
    </row>
    <row r="87" spans="9:22" x14ac:dyDescent="0.25">
      <c r="I87" s="15"/>
      <c r="J87" s="15"/>
      <c r="K87" s="36"/>
      <c r="L87" s="36"/>
      <c r="M87" s="59"/>
      <c r="N87" s="36">
        <f t="shared" si="8"/>
        <v>0</v>
      </c>
      <c r="O87" s="36">
        <f t="shared" si="9"/>
        <v>0</v>
      </c>
      <c r="P87" s="61">
        <f t="shared" si="10"/>
        <v>0</v>
      </c>
      <c r="R87" s="18"/>
      <c r="S87" s="18"/>
      <c r="T87" s="21"/>
      <c r="U87" s="26"/>
      <c r="V87" s="13" t="str">
        <f t="shared" si="11"/>
        <v/>
      </c>
    </row>
    <row r="88" spans="9:22" x14ac:dyDescent="0.25">
      <c r="I88" s="15"/>
      <c r="J88" s="15"/>
      <c r="K88" s="36"/>
      <c r="L88" s="36"/>
      <c r="M88" s="59"/>
      <c r="N88" s="36">
        <f t="shared" si="8"/>
        <v>0</v>
      </c>
      <c r="O88" s="36">
        <f t="shared" si="9"/>
        <v>0</v>
      </c>
      <c r="P88" s="61">
        <f t="shared" si="10"/>
        <v>0</v>
      </c>
      <c r="R88" s="18"/>
      <c r="S88" s="18"/>
      <c r="T88" s="21"/>
      <c r="U88" s="26"/>
      <c r="V88" s="13" t="str">
        <f t="shared" si="11"/>
        <v/>
      </c>
    </row>
    <row r="89" spans="9:22" x14ac:dyDescent="0.25">
      <c r="I89" s="15"/>
      <c r="J89" s="15"/>
      <c r="K89" s="36"/>
      <c r="L89" s="36"/>
      <c r="M89" s="59"/>
      <c r="N89" s="36">
        <f t="shared" si="8"/>
        <v>0</v>
      </c>
      <c r="O89" s="36">
        <f t="shared" si="9"/>
        <v>0</v>
      </c>
      <c r="P89" s="61">
        <f t="shared" si="10"/>
        <v>0</v>
      </c>
      <c r="R89" s="18"/>
      <c r="S89" s="18"/>
      <c r="T89" s="21"/>
      <c r="U89" s="26"/>
      <c r="V89" s="13" t="str">
        <f t="shared" si="11"/>
        <v/>
      </c>
    </row>
    <row r="90" spans="9:22" x14ac:dyDescent="0.25">
      <c r="I90" s="15"/>
      <c r="J90" s="15"/>
      <c r="K90" s="36"/>
      <c r="L90" s="36"/>
      <c r="M90" s="59"/>
      <c r="N90" s="36">
        <f t="shared" si="8"/>
        <v>0</v>
      </c>
      <c r="O90" s="36">
        <f t="shared" si="9"/>
        <v>0</v>
      </c>
      <c r="P90" s="61">
        <f t="shared" si="10"/>
        <v>0</v>
      </c>
      <c r="R90" s="18"/>
      <c r="S90" s="18"/>
      <c r="T90" s="21"/>
      <c r="U90" s="26"/>
      <c r="V90" s="13" t="str">
        <f t="shared" si="11"/>
        <v/>
      </c>
    </row>
    <row r="91" spans="9:22" x14ac:dyDescent="0.25">
      <c r="I91" s="15"/>
      <c r="J91" s="15"/>
      <c r="K91" s="36"/>
      <c r="L91" s="36"/>
      <c r="M91" s="59"/>
      <c r="N91" s="36">
        <f t="shared" si="8"/>
        <v>0</v>
      </c>
      <c r="O91" s="36">
        <f t="shared" si="9"/>
        <v>0</v>
      </c>
      <c r="P91" s="61">
        <f t="shared" si="10"/>
        <v>0</v>
      </c>
      <c r="R91" s="18"/>
      <c r="S91" s="18"/>
      <c r="T91" s="21"/>
      <c r="U91" s="26"/>
      <c r="V91" s="13" t="str">
        <f t="shared" si="11"/>
        <v/>
      </c>
    </row>
    <row r="92" spans="9:22" x14ac:dyDescent="0.25">
      <c r="I92" s="15"/>
      <c r="J92" s="15"/>
      <c r="K92" s="36"/>
      <c r="L92" s="36"/>
      <c r="M92" s="59"/>
      <c r="N92" s="36">
        <f t="shared" si="8"/>
        <v>0</v>
      </c>
      <c r="O92" s="36">
        <f t="shared" si="9"/>
        <v>0</v>
      </c>
      <c r="P92" s="61">
        <f t="shared" si="10"/>
        <v>0</v>
      </c>
      <c r="R92" s="18"/>
      <c r="S92" s="18"/>
      <c r="T92" s="21"/>
      <c r="U92" s="26"/>
      <c r="V92" s="13" t="str">
        <f t="shared" si="11"/>
        <v/>
      </c>
    </row>
    <row r="93" spans="9:22" x14ac:dyDescent="0.25">
      <c r="I93" s="15"/>
      <c r="J93" s="15"/>
      <c r="K93" s="36"/>
      <c r="L93" s="36"/>
      <c r="M93" s="59"/>
      <c r="N93" s="36">
        <f t="shared" si="8"/>
        <v>0</v>
      </c>
      <c r="O93" s="36">
        <f t="shared" si="9"/>
        <v>0</v>
      </c>
      <c r="P93" s="61">
        <f t="shared" si="10"/>
        <v>0</v>
      </c>
      <c r="R93" s="18"/>
      <c r="S93" s="18"/>
      <c r="T93" s="21"/>
      <c r="U93" s="26"/>
      <c r="V93" s="13" t="str">
        <f t="shared" si="11"/>
        <v/>
      </c>
    </row>
    <row r="94" spans="9:22" x14ac:dyDescent="0.25">
      <c r="I94" s="15"/>
      <c r="J94" s="15"/>
      <c r="K94" s="36"/>
      <c r="L94" s="36"/>
      <c r="M94" s="59"/>
      <c r="N94" s="36">
        <f t="shared" si="8"/>
        <v>0</v>
      </c>
      <c r="O94" s="36">
        <f t="shared" si="9"/>
        <v>0</v>
      </c>
      <c r="P94" s="61">
        <f t="shared" si="10"/>
        <v>0</v>
      </c>
      <c r="R94" s="18"/>
      <c r="S94" s="18"/>
      <c r="T94" s="21"/>
      <c r="U94" s="26"/>
      <c r="V94" s="13" t="str">
        <f t="shared" si="11"/>
        <v/>
      </c>
    </row>
    <row r="95" spans="9:22" x14ac:dyDescent="0.25">
      <c r="I95" s="15"/>
      <c r="J95" s="15"/>
      <c r="K95" s="36"/>
      <c r="L95" s="36"/>
      <c r="M95" s="59"/>
      <c r="N95" s="36">
        <f t="shared" si="8"/>
        <v>0</v>
      </c>
      <c r="O95" s="36">
        <f t="shared" si="9"/>
        <v>0</v>
      </c>
      <c r="P95" s="61">
        <f t="shared" si="10"/>
        <v>0</v>
      </c>
      <c r="R95" s="18"/>
      <c r="S95" s="18"/>
      <c r="T95" s="21"/>
      <c r="U95" s="26"/>
      <c r="V95" s="13" t="str">
        <f t="shared" si="11"/>
        <v/>
      </c>
    </row>
    <row r="96" spans="9:22" x14ac:dyDescent="0.25">
      <c r="I96" s="15"/>
      <c r="J96" s="15"/>
      <c r="K96" s="36"/>
      <c r="L96" s="36"/>
      <c r="M96" s="59"/>
      <c r="N96" s="36">
        <f t="shared" si="8"/>
        <v>0</v>
      </c>
      <c r="O96" s="36">
        <f t="shared" si="9"/>
        <v>0</v>
      </c>
      <c r="P96" s="61">
        <f t="shared" si="10"/>
        <v>0</v>
      </c>
      <c r="R96" s="18"/>
      <c r="S96" s="18"/>
      <c r="T96" s="21"/>
      <c r="U96" s="26"/>
      <c r="V96" s="13" t="str">
        <f t="shared" si="11"/>
        <v/>
      </c>
    </row>
    <row r="97" spans="9:22" x14ac:dyDescent="0.25">
      <c r="I97" s="15"/>
      <c r="J97" s="15"/>
      <c r="K97" s="36"/>
      <c r="L97" s="36"/>
      <c r="M97" s="59"/>
      <c r="N97" s="36">
        <f t="shared" si="8"/>
        <v>0</v>
      </c>
      <c r="O97" s="36">
        <f t="shared" si="9"/>
        <v>0</v>
      </c>
      <c r="P97" s="61">
        <f t="shared" si="10"/>
        <v>0</v>
      </c>
      <c r="R97" s="18"/>
      <c r="S97" s="18"/>
      <c r="T97" s="21"/>
      <c r="U97" s="26"/>
      <c r="V97" s="13" t="str">
        <f t="shared" si="11"/>
        <v/>
      </c>
    </row>
    <row r="98" spans="9:22" x14ac:dyDescent="0.25">
      <c r="I98" s="15"/>
      <c r="J98" s="15"/>
      <c r="K98" s="36"/>
      <c r="L98" s="36"/>
      <c r="M98" s="59"/>
      <c r="N98" s="36">
        <f t="shared" si="8"/>
        <v>0</v>
      </c>
      <c r="O98" s="36">
        <f t="shared" si="9"/>
        <v>0</v>
      </c>
      <c r="P98" s="61">
        <f t="shared" si="10"/>
        <v>0</v>
      </c>
      <c r="R98" s="18"/>
      <c r="S98" s="18"/>
      <c r="T98" s="21"/>
      <c r="U98" s="26"/>
      <c r="V98" s="13" t="str">
        <f t="shared" si="11"/>
        <v/>
      </c>
    </row>
    <row r="99" spans="9:22" x14ac:dyDescent="0.25">
      <c r="I99" s="15"/>
      <c r="J99" s="15"/>
      <c r="K99" s="36"/>
      <c r="L99" s="36"/>
      <c r="M99" s="59"/>
      <c r="N99" s="36">
        <f t="shared" si="8"/>
        <v>0</v>
      </c>
      <c r="O99" s="36">
        <f t="shared" si="9"/>
        <v>0</v>
      </c>
      <c r="P99" s="61">
        <f t="shared" si="10"/>
        <v>0</v>
      </c>
      <c r="R99" s="18"/>
      <c r="S99" s="18"/>
      <c r="T99" s="21"/>
      <c r="U99" s="26"/>
      <c r="V99" s="13" t="str">
        <f t="shared" si="11"/>
        <v/>
      </c>
    </row>
    <row r="100" spans="9:22" x14ac:dyDescent="0.25">
      <c r="I100" s="15"/>
      <c r="J100" s="15"/>
      <c r="K100" s="36"/>
      <c r="L100" s="36"/>
      <c r="M100" s="59"/>
      <c r="N100" s="36">
        <f t="shared" si="8"/>
        <v>0</v>
      </c>
      <c r="O100" s="36">
        <f t="shared" si="9"/>
        <v>0</v>
      </c>
      <c r="P100" s="61">
        <f t="shared" si="10"/>
        <v>0</v>
      </c>
      <c r="R100" s="18"/>
      <c r="S100" s="18"/>
      <c r="T100" s="21"/>
      <c r="U100" s="26"/>
      <c r="V100" s="13" t="str">
        <f t="shared" si="11"/>
        <v/>
      </c>
    </row>
    <row r="101" spans="9:22" x14ac:dyDescent="0.25">
      <c r="I101" s="15"/>
      <c r="J101" s="15"/>
      <c r="K101" s="36"/>
      <c r="L101" s="36"/>
      <c r="M101" s="59"/>
      <c r="N101" s="36">
        <f t="shared" si="8"/>
        <v>0</v>
      </c>
      <c r="O101" s="36">
        <f t="shared" si="9"/>
        <v>0</v>
      </c>
      <c r="P101" s="61">
        <f t="shared" si="10"/>
        <v>0</v>
      </c>
      <c r="R101" s="18"/>
      <c r="S101" s="18"/>
      <c r="T101" s="21"/>
      <c r="U101" s="26"/>
      <c r="V101" s="13" t="str">
        <f t="shared" si="11"/>
        <v/>
      </c>
    </row>
    <row r="102" spans="9:22" x14ac:dyDescent="0.25">
      <c r="I102" s="15"/>
      <c r="J102" s="15"/>
      <c r="K102" s="36"/>
      <c r="L102" s="36"/>
      <c r="M102" s="59"/>
      <c r="N102" s="36">
        <f t="shared" si="8"/>
        <v>0</v>
      </c>
      <c r="O102" s="36">
        <f t="shared" si="9"/>
        <v>0</v>
      </c>
      <c r="P102" s="61">
        <f t="shared" si="10"/>
        <v>0</v>
      </c>
      <c r="R102" s="18"/>
      <c r="S102" s="18"/>
      <c r="T102" s="21"/>
      <c r="U102" s="26"/>
      <c r="V102" s="13" t="str">
        <f t="shared" si="11"/>
        <v/>
      </c>
    </row>
    <row r="103" spans="9:22" x14ac:dyDescent="0.25">
      <c r="I103" s="15"/>
      <c r="J103" s="15"/>
      <c r="K103" s="36"/>
      <c r="L103" s="36"/>
      <c r="M103" s="59"/>
      <c r="N103" s="36">
        <f t="shared" si="8"/>
        <v>0</v>
      </c>
      <c r="O103" s="36">
        <f t="shared" si="9"/>
        <v>0</v>
      </c>
      <c r="P103" s="61">
        <f t="shared" si="10"/>
        <v>0</v>
      </c>
      <c r="R103" s="18"/>
      <c r="S103" s="18"/>
      <c r="T103" s="21"/>
      <c r="U103" s="26"/>
      <c r="V103" s="13" t="str">
        <f t="shared" si="11"/>
        <v/>
      </c>
    </row>
    <row r="104" spans="9:22" x14ac:dyDescent="0.25">
      <c r="I104" s="15"/>
      <c r="J104" s="15"/>
      <c r="K104" s="36"/>
      <c r="L104" s="36"/>
      <c r="M104" s="59"/>
      <c r="N104" s="36">
        <f t="shared" si="8"/>
        <v>0</v>
      </c>
      <c r="O104" s="36">
        <f t="shared" si="9"/>
        <v>0</v>
      </c>
      <c r="P104" s="61">
        <f t="shared" si="10"/>
        <v>0</v>
      </c>
      <c r="R104" s="18"/>
      <c r="S104" s="18"/>
      <c r="T104" s="21"/>
      <c r="U104" s="26"/>
      <c r="V104" s="13" t="str">
        <f t="shared" si="11"/>
        <v/>
      </c>
    </row>
    <row r="105" spans="9:22" ht="15.75" thickBot="1" x14ac:dyDescent="0.3">
      <c r="I105" s="16"/>
      <c r="J105" s="16"/>
      <c r="K105" s="37"/>
      <c r="L105" s="37"/>
      <c r="M105" s="60"/>
      <c r="N105" s="37">
        <f t="shared" si="8"/>
        <v>0</v>
      </c>
      <c r="O105" s="37">
        <f t="shared" si="9"/>
        <v>0</v>
      </c>
      <c r="P105" s="63">
        <f t="shared" si="10"/>
        <v>0</v>
      </c>
      <c r="R105" s="19"/>
      <c r="S105" s="19"/>
      <c r="T105" s="22"/>
      <c r="U105" s="27"/>
      <c r="V105" s="14" t="str">
        <f t="shared" si="11"/>
        <v/>
      </c>
    </row>
    <row r="107" spans="9:22" x14ac:dyDescent="0.25">
      <c r="J107" s="64" t="s">
        <v>79</v>
      </c>
      <c r="K107" s="65"/>
      <c r="L107" s="65"/>
      <c r="M107" s="65">
        <f>SUM(M7:M105)</f>
        <v>0</v>
      </c>
      <c r="N107" s="65">
        <f>SUM(N7:N105)</f>
        <v>0</v>
      </c>
      <c r="O107" s="65">
        <f>SUM(O7:O105)</f>
        <v>0</v>
      </c>
      <c r="P107" s="66">
        <f>SUM(P7:P105)</f>
        <v>0</v>
      </c>
    </row>
    <row r="108" spans="9:22" ht="15.75" thickBot="1" x14ac:dyDescent="0.3">
      <c r="J108" s="67" t="s">
        <v>88</v>
      </c>
      <c r="K108" s="68"/>
      <c r="L108" s="68"/>
      <c r="M108" s="68"/>
      <c r="N108" s="68" t="e">
        <f>N107/$M$107</f>
        <v>#DIV/0!</v>
      </c>
      <c r="O108" s="68" t="e">
        <f>O107/$M$107</f>
        <v>#DIV/0!</v>
      </c>
      <c r="P108" s="69"/>
    </row>
    <row r="109" spans="9:22" ht="15.75" thickTop="1" x14ac:dyDescent="0.25"/>
  </sheetData>
  <sheetProtection sheet="1" objects="1" scenarios="1" selectLockedCells="1"/>
  <mergeCells count="4">
    <mergeCell ref="B4:C4"/>
    <mergeCell ref="B2:C2"/>
    <mergeCell ref="D2:G2"/>
    <mergeCell ref="D4:E4"/>
  </mergeCells>
  <dataValidations count="2">
    <dataValidation type="list" allowBlank="1" showInputMessage="1" showErrorMessage="1" sqref="R7:R105 I7:I105" xr:uid="{84A39945-5F44-4A2D-9CC3-908F854AADFC}">
      <formula1>$C$7:$C$45</formula1>
    </dataValidation>
    <dataValidation type="list" allowBlank="1" showInputMessage="1" showErrorMessage="1" sqref="D7:D46" xr:uid="{17EA2D89-70DD-4453-93C0-4E03E450A356}">
      <formula1>"Yes,No"</formula1>
    </dataValidation>
  </dataValidations>
  <pageMargins left="0.7" right="0.7" top="0.75" bottom="0.75" header="0.3" footer="0.3"/>
  <pageSetup paperSize="9" orientation="portrait" r:id="rId1"/>
  <headerFooter>
    <oddHeader>&amp;C </oddHeader>
    <oddFooter>&amp;C 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268255-EA00-4192-89E2-A8B370932ED5}">
          <x14:formula1>
            <xm:f>References!$A$2:$A$42</xm:f>
          </x14:formula1>
          <xm:sqref>U7:U105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E8F7C-AD93-4954-A620-5C50D25EC100}">
  <sheetPr codeName="Sheet5">
    <tabColor theme="1"/>
  </sheetPr>
  <dimension ref="A1:J200"/>
  <sheetViews>
    <sheetView topLeftCell="E1" workbookViewId="0">
      <selection activeCell="F1" sqref="F1"/>
    </sheetView>
  </sheetViews>
  <sheetFormatPr defaultRowHeight="15" x14ac:dyDescent="0.25"/>
  <cols>
    <col min="1" max="1" width="0" hidden="1" customWidth="1"/>
    <col min="2" max="2" width="4.7109375" hidden="1" customWidth="1"/>
    <col min="3" max="3" width="0" hidden="1" customWidth="1"/>
    <col min="4" max="4" width="4.7109375" hidden="1" customWidth="1"/>
    <col min="5" max="5" width="14.28515625" customWidth="1"/>
    <col min="6" max="6" width="27.140625" customWidth="1"/>
    <col min="7" max="7" width="4.7109375" customWidth="1"/>
    <col min="8" max="10" width="32.140625" customWidth="1"/>
  </cols>
  <sheetData>
    <row r="1" spans="1:10" x14ac:dyDescent="0.25">
      <c r="A1" s="47" t="s">
        <v>74</v>
      </c>
      <c r="C1" s="47" t="s">
        <v>73</v>
      </c>
      <c r="E1" s="70" t="s">
        <v>90</v>
      </c>
      <c r="F1" s="71" t="s">
        <v>94</v>
      </c>
      <c r="H1" s="48" t="s">
        <v>0</v>
      </c>
      <c r="I1" s="48" t="s">
        <v>3</v>
      </c>
      <c r="J1" s="48" t="s">
        <v>4</v>
      </c>
    </row>
    <row r="2" spans="1:10" x14ac:dyDescent="0.25">
      <c r="A2" s="46">
        <v>0</v>
      </c>
      <c r="C2" s="46">
        <v>1</v>
      </c>
      <c r="E2" s="70" t="s">
        <v>91</v>
      </c>
      <c r="F2" s="71">
        <v>12345678</v>
      </c>
      <c r="H2" s="49" t="s">
        <v>6</v>
      </c>
      <c r="I2" s="49" t="s">
        <v>16</v>
      </c>
      <c r="J2" s="49" t="s">
        <v>37</v>
      </c>
    </row>
    <row r="3" spans="1:10" x14ac:dyDescent="0.25">
      <c r="A3" s="46">
        <f>A2+0.025</f>
        <v>2.5000000000000001E-2</v>
      </c>
      <c r="C3" s="46">
        <v>2</v>
      </c>
      <c r="E3" s="70" t="s">
        <v>92</v>
      </c>
      <c r="F3" s="71" t="s">
        <v>93</v>
      </c>
      <c r="H3" s="49" t="s">
        <v>7</v>
      </c>
      <c r="I3" s="49" t="s">
        <v>17</v>
      </c>
      <c r="J3" s="49" t="s">
        <v>38</v>
      </c>
    </row>
    <row r="4" spans="1:10" x14ac:dyDescent="0.25">
      <c r="A4" s="46">
        <f>A3+0.025</f>
        <v>0.05</v>
      </c>
      <c r="C4" s="46">
        <v>3</v>
      </c>
      <c r="H4" s="49" t="s">
        <v>8</v>
      </c>
      <c r="I4" s="49" t="s">
        <v>18</v>
      </c>
      <c r="J4" s="49" t="s">
        <v>39</v>
      </c>
    </row>
    <row r="5" spans="1:10" x14ac:dyDescent="0.25">
      <c r="A5" s="46">
        <f t="shared" ref="A5:A42" si="0">A4+0.025</f>
        <v>7.5000000000000011E-2</v>
      </c>
      <c r="C5" s="46">
        <v>4</v>
      </c>
      <c r="E5" s="92" t="s">
        <v>97</v>
      </c>
      <c r="F5" s="71" t="s">
        <v>64</v>
      </c>
      <c r="H5" s="49" t="s">
        <v>9</v>
      </c>
      <c r="I5" s="49" t="s">
        <v>19</v>
      </c>
      <c r="J5" s="49" t="s">
        <v>40</v>
      </c>
    </row>
    <row r="6" spans="1:10" x14ac:dyDescent="0.25">
      <c r="A6" s="46">
        <f t="shared" si="0"/>
        <v>0.1</v>
      </c>
      <c r="C6" s="46">
        <v>5</v>
      </c>
      <c r="E6" s="92" t="s">
        <v>98</v>
      </c>
      <c r="F6" s="71" t="s">
        <v>65</v>
      </c>
      <c r="H6" s="49" t="s">
        <v>10</v>
      </c>
      <c r="I6" s="49" t="s">
        <v>20</v>
      </c>
      <c r="J6" s="49" t="s">
        <v>42</v>
      </c>
    </row>
    <row r="7" spans="1:10" x14ac:dyDescent="0.25">
      <c r="A7" s="46">
        <f t="shared" si="0"/>
        <v>0.125</v>
      </c>
      <c r="C7" s="46">
        <v>6</v>
      </c>
      <c r="E7" s="92" t="s">
        <v>56</v>
      </c>
      <c r="F7" s="71" t="s">
        <v>60</v>
      </c>
      <c r="H7" s="49" t="s">
        <v>11</v>
      </c>
      <c r="I7" s="49" t="s">
        <v>21</v>
      </c>
      <c r="J7" s="49" t="s">
        <v>41</v>
      </c>
    </row>
    <row r="8" spans="1:10" x14ac:dyDescent="0.25">
      <c r="A8" s="46">
        <f t="shared" si="0"/>
        <v>0.15</v>
      </c>
      <c r="C8" s="46">
        <v>7</v>
      </c>
      <c r="E8" s="92" t="s">
        <v>99</v>
      </c>
      <c r="F8" s="71" t="s">
        <v>66</v>
      </c>
      <c r="H8" s="49" t="s">
        <v>32</v>
      </c>
      <c r="I8" s="49" t="s">
        <v>22</v>
      </c>
      <c r="J8" s="49" t="s">
        <v>8</v>
      </c>
    </row>
    <row r="9" spans="1:10" x14ac:dyDescent="0.25">
      <c r="A9" s="46">
        <f t="shared" si="0"/>
        <v>0.17499999999999999</v>
      </c>
      <c r="C9" s="46">
        <v>8</v>
      </c>
      <c r="E9" s="92" t="s">
        <v>100</v>
      </c>
      <c r="F9" s="71" t="s">
        <v>63</v>
      </c>
      <c r="H9" s="49" t="s">
        <v>77</v>
      </c>
      <c r="I9" s="49" t="s">
        <v>23</v>
      </c>
      <c r="J9" s="49" t="s">
        <v>43</v>
      </c>
    </row>
    <row r="10" spans="1:10" x14ac:dyDescent="0.25">
      <c r="A10" s="46">
        <f t="shared" si="0"/>
        <v>0.19999999999999998</v>
      </c>
      <c r="C10" s="46">
        <v>9</v>
      </c>
      <c r="E10" s="92" t="s">
        <v>101</v>
      </c>
      <c r="F10" s="71" t="s">
        <v>62</v>
      </c>
      <c r="H10" s="49"/>
      <c r="I10" s="49" t="s">
        <v>44</v>
      </c>
      <c r="J10" s="49" t="s">
        <v>45</v>
      </c>
    </row>
    <row r="11" spans="1:10" x14ac:dyDescent="0.25">
      <c r="A11" s="46">
        <f t="shared" si="0"/>
        <v>0.22499999999999998</v>
      </c>
      <c r="C11" s="46">
        <v>10</v>
      </c>
      <c r="H11" s="49"/>
      <c r="I11" s="49" t="s">
        <v>24</v>
      </c>
      <c r="J11" s="49" t="s">
        <v>39</v>
      </c>
    </row>
    <row r="12" spans="1:10" x14ac:dyDescent="0.25">
      <c r="A12" s="46">
        <f t="shared" si="0"/>
        <v>0.24999999999999997</v>
      </c>
      <c r="H12" s="49"/>
      <c r="I12" s="49" t="s">
        <v>25</v>
      </c>
      <c r="J12" s="49" t="s">
        <v>46</v>
      </c>
    </row>
    <row r="13" spans="1:10" x14ac:dyDescent="0.25">
      <c r="A13" s="46">
        <f t="shared" si="0"/>
        <v>0.27499999999999997</v>
      </c>
      <c r="H13" s="49"/>
      <c r="I13" s="49" t="s">
        <v>26</v>
      </c>
      <c r="J13" s="49" t="s">
        <v>37</v>
      </c>
    </row>
    <row r="14" spans="1:10" x14ac:dyDescent="0.25">
      <c r="A14" s="46">
        <f t="shared" si="0"/>
        <v>0.3</v>
      </c>
      <c r="H14" s="49"/>
      <c r="I14" s="49" t="s">
        <v>29</v>
      </c>
      <c r="J14" s="49" t="s">
        <v>39</v>
      </c>
    </row>
    <row r="15" spans="1:10" x14ac:dyDescent="0.25">
      <c r="A15" s="46">
        <f t="shared" si="0"/>
        <v>0.32500000000000001</v>
      </c>
      <c r="H15" s="49"/>
      <c r="I15" s="49" t="s">
        <v>28</v>
      </c>
      <c r="J15" s="49" t="s">
        <v>45</v>
      </c>
    </row>
    <row r="16" spans="1:10" x14ac:dyDescent="0.25">
      <c r="A16" s="46">
        <f t="shared" si="0"/>
        <v>0.35000000000000003</v>
      </c>
      <c r="H16" s="49"/>
      <c r="I16" s="49" t="s">
        <v>27</v>
      </c>
      <c r="J16" s="49" t="s">
        <v>47</v>
      </c>
    </row>
    <row r="17" spans="1:10" x14ac:dyDescent="0.25">
      <c r="A17" s="46">
        <f t="shared" si="0"/>
        <v>0.37500000000000006</v>
      </c>
      <c r="H17" s="49"/>
      <c r="I17" s="49" t="s">
        <v>30</v>
      </c>
      <c r="J17" s="49" t="s">
        <v>49</v>
      </c>
    </row>
    <row r="18" spans="1:10" x14ac:dyDescent="0.25">
      <c r="A18" s="46">
        <f t="shared" si="0"/>
        <v>0.40000000000000008</v>
      </c>
      <c r="H18" s="49"/>
      <c r="I18" s="49" t="s">
        <v>31</v>
      </c>
      <c r="J18" s="49" t="s">
        <v>50</v>
      </c>
    </row>
    <row r="19" spans="1:10" x14ac:dyDescent="0.25">
      <c r="A19" s="46">
        <f t="shared" si="0"/>
        <v>0.4250000000000001</v>
      </c>
      <c r="H19" s="49"/>
      <c r="I19" s="49" t="s">
        <v>33</v>
      </c>
      <c r="J19" s="49" t="s">
        <v>51</v>
      </c>
    </row>
    <row r="20" spans="1:10" x14ac:dyDescent="0.25">
      <c r="A20" s="46">
        <f t="shared" si="0"/>
        <v>0.45000000000000012</v>
      </c>
      <c r="H20" s="49"/>
      <c r="I20" s="49" t="s">
        <v>34</v>
      </c>
      <c r="J20" s="49"/>
    </row>
    <row r="21" spans="1:10" x14ac:dyDescent="0.25">
      <c r="A21" s="46">
        <f t="shared" si="0"/>
        <v>0.47500000000000014</v>
      </c>
      <c r="H21" s="49"/>
      <c r="I21" s="49" t="s">
        <v>35</v>
      </c>
      <c r="J21" s="49"/>
    </row>
    <row r="22" spans="1:10" x14ac:dyDescent="0.25">
      <c r="A22" s="46">
        <f t="shared" si="0"/>
        <v>0.50000000000000011</v>
      </c>
      <c r="H22" s="49"/>
      <c r="I22" s="49" t="s">
        <v>78</v>
      </c>
      <c r="J22" s="49"/>
    </row>
    <row r="23" spans="1:10" x14ac:dyDescent="0.25">
      <c r="A23" s="46">
        <f t="shared" si="0"/>
        <v>0.52500000000000013</v>
      </c>
      <c r="H23" s="49"/>
      <c r="I23" s="49"/>
      <c r="J23" s="49"/>
    </row>
    <row r="24" spans="1:10" x14ac:dyDescent="0.25">
      <c r="A24" s="46">
        <f t="shared" si="0"/>
        <v>0.55000000000000016</v>
      </c>
      <c r="H24" s="49"/>
      <c r="I24" s="49"/>
      <c r="J24" s="49"/>
    </row>
    <row r="25" spans="1:10" x14ac:dyDescent="0.25">
      <c r="A25" s="46">
        <f t="shared" si="0"/>
        <v>0.57500000000000018</v>
      </c>
      <c r="H25" s="49"/>
      <c r="I25" s="49"/>
      <c r="J25" s="49"/>
    </row>
    <row r="26" spans="1:10" x14ac:dyDescent="0.25">
      <c r="A26" s="46">
        <f t="shared" si="0"/>
        <v>0.6000000000000002</v>
      </c>
      <c r="H26" s="49"/>
      <c r="I26" s="49"/>
      <c r="J26" s="49"/>
    </row>
    <row r="27" spans="1:10" x14ac:dyDescent="0.25">
      <c r="A27" s="46">
        <f t="shared" si="0"/>
        <v>0.62500000000000022</v>
      </c>
      <c r="H27" s="49"/>
      <c r="I27" s="49"/>
      <c r="J27" s="49"/>
    </row>
    <row r="28" spans="1:10" x14ac:dyDescent="0.25">
      <c r="A28" s="46">
        <f t="shared" si="0"/>
        <v>0.65000000000000024</v>
      </c>
      <c r="H28" s="49"/>
      <c r="I28" s="49"/>
      <c r="J28" s="49"/>
    </row>
    <row r="29" spans="1:10" x14ac:dyDescent="0.25">
      <c r="A29" s="46">
        <f t="shared" si="0"/>
        <v>0.67500000000000027</v>
      </c>
      <c r="H29" s="49"/>
      <c r="I29" s="49"/>
      <c r="J29" s="49"/>
    </row>
    <row r="30" spans="1:10" x14ac:dyDescent="0.25">
      <c r="A30" s="46">
        <f t="shared" si="0"/>
        <v>0.70000000000000029</v>
      </c>
      <c r="H30" s="49"/>
      <c r="I30" s="49"/>
      <c r="J30" s="49"/>
    </row>
    <row r="31" spans="1:10" x14ac:dyDescent="0.25">
      <c r="A31" s="46">
        <f t="shared" si="0"/>
        <v>0.72500000000000031</v>
      </c>
      <c r="H31" s="49"/>
      <c r="I31" s="49"/>
      <c r="J31" s="49"/>
    </row>
    <row r="32" spans="1:10" x14ac:dyDescent="0.25">
      <c r="A32" s="46">
        <f t="shared" si="0"/>
        <v>0.75000000000000033</v>
      </c>
      <c r="H32" s="49"/>
      <c r="I32" s="49"/>
      <c r="J32" s="49"/>
    </row>
    <row r="33" spans="1:10" x14ac:dyDescent="0.25">
      <c r="A33" s="46">
        <f t="shared" si="0"/>
        <v>0.77500000000000036</v>
      </c>
      <c r="H33" s="49"/>
      <c r="I33" s="49"/>
      <c r="J33" s="49"/>
    </row>
    <row r="34" spans="1:10" x14ac:dyDescent="0.25">
      <c r="A34" s="46">
        <f t="shared" si="0"/>
        <v>0.80000000000000038</v>
      </c>
      <c r="H34" s="49"/>
      <c r="I34" s="49"/>
      <c r="J34" s="49"/>
    </row>
    <row r="35" spans="1:10" x14ac:dyDescent="0.25">
      <c r="A35" s="46">
        <f t="shared" si="0"/>
        <v>0.8250000000000004</v>
      </c>
      <c r="H35" s="49"/>
      <c r="I35" s="49"/>
      <c r="J35" s="49"/>
    </row>
    <row r="36" spans="1:10" x14ac:dyDescent="0.25">
      <c r="A36" s="46">
        <f t="shared" si="0"/>
        <v>0.85000000000000042</v>
      </c>
      <c r="H36" s="49"/>
      <c r="I36" s="49"/>
      <c r="J36" s="49"/>
    </row>
    <row r="37" spans="1:10" x14ac:dyDescent="0.25">
      <c r="A37" s="46">
        <f t="shared" si="0"/>
        <v>0.87500000000000044</v>
      </c>
      <c r="H37" s="49"/>
      <c r="I37" s="49"/>
      <c r="J37" s="49"/>
    </row>
    <row r="38" spans="1:10" x14ac:dyDescent="0.25">
      <c r="A38" s="46">
        <f t="shared" si="0"/>
        <v>0.90000000000000047</v>
      </c>
      <c r="H38" s="49"/>
      <c r="I38" s="49"/>
      <c r="J38" s="49"/>
    </row>
    <row r="39" spans="1:10" x14ac:dyDescent="0.25">
      <c r="A39" s="46">
        <f t="shared" si="0"/>
        <v>0.92500000000000049</v>
      </c>
      <c r="H39" s="49"/>
      <c r="I39" s="49"/>
      <c r="J39" s="49"/>
    </row>
    <row r="40" spans="1:10" x14ac:dyDescent="0.25">
      <c r="A40" s="46">
        <f t="shared" si="0"/>
        <v>0.95000000000000051</v>
      </c>
      <c r="H40" s="49"/>
      <c r="I40" s="49"/>
      <c r="J40" s="49"/>
    </row>
    <row r="41" spans="1:10" x14ac:dyDescent="0.25">
      <c r="A41" s="46">
        <f t="shared" si="0"/>
        <v>0.97500000000000053</v>
      </c>
      <c r="H41" s="49"/>
      <c r="I41" s="49"/>
      <c r="J41" s="49"/>
    </row>
    <row r="42" spans="1:10" x14ac:dyDescent="0.25">
      <c r="A42" s="46">
        <f t="shared" si="0"/>
        <v>1.0000000000000004</v>
      </c>
      <c r="H42" s="49"/>
      <c r="I42" s="49"/>
      <c r="J42" s="49"/>
    </row>
    <row r="43" spans="1:10" x14ac:dyDescent="0.25">
      <c r="H43" s="49"/>
      <c r="I43" s="49"/>
      <c r="J43" s="49"/>
    </row>
    <row r="44" spans="1:10" x14ac:dyDescent="0.25">
      <c r="H44" s="49"/>
      <c r="I44" s="49"/>
      <c r="J44" s="49"/>
    </row>
    <row r="45" spans="1:10" x14ac:dyDescent="0.25">
      <c r="H45" s="49"/>
      <c r="I45" s="49"/>
      <c r="J45" s="49"/>
    </row>
    <row r="46" spans="1:10" x14ac:dyDescent="0.25">
      <c r="H46" s="49"/>
      <c r="I46" s="49"/>
      <c r="J46" s="49"/>
    </row>
    <row r="47" spans="1:10" x14ac:dyDescent="0.25">
      <c r="H47" s="49"/>
      <c r="I47" s="49"/>
      <c r="J47" s="49"/>
    </row>
    <row r="48" spans="1:10" x14ac:dyDescent="0.25">
      <c r="H48" s="49"/>
      <c r="I48" s="49"/>
      <c r="J48" s="49"/>
    </row>
    <row r="49" spans="8:10" x14ac:dyDescent="0.25">
      <c r="H49" s="49"/>
      <c r="I49" s="49"/>
      <c r="J49" s="49"/>
    </row>
    <row r="50" spans="8:10" x14ac:dyDescent="0.25">
      <c r="H50" s="49"/>
      <c r="I50" s="49"/>
      <c r="J50" s="49"/>
    </row>
    <row r="51" spans="8:10" x14ac:dyDescent="0.25">
      <c r="H51" s="49"/>
      <c r="I51" s="49"/>
      <c r="J51" s="49"/>
    </row>
    <row r="52" spans="8:10" x14ac:dyDescent="0.25">
      <c r="H52" s="49"/>
      <c r="I52" s="49"/>
      <c r="J52" s="49"/>
    </row>
    <row r="53" spans="8:10" x14ac:dyDescent="0.25">
      <c r="H53" s="49"/>
      <c r="I53" s="49"/>
      <c r="J53" s="49"/>
    </row>
    <row r="54" spans="8:10" x14ac:dyDescent="0.25">
      <c r="H54" s="49"/>
      <c r="I54" s="49"/>
      <c r="J54" s="49"/>
    </row>
    <row r="55" spans="8:10" x14ac:dyDescent="0.25">
      <c r="H55" s="49"/>
      <c r="I55" s="49"/>
      <c r="J55" s="49"/>
    </row>
    <row r="56" spans="8:10" x14ac:dyDescent="0.25">
      <c r="H56" s="49"/>
      <c r="I56" s="49"/>
      <c r="J56" s="49"/>
    </row>
    <row r="57" spans="8:10" x14ac:dyDescent="0.25">
      <c r="H57" s="49"/>
      <c r="I57" s="49"/>
      <c r="J57" s="49"/>
    </row>
    <row r="58" spans="8:10" x14ac:dyDescent="0.25">
      <c r="H58" s="49"/>
      <c r="I58" s="49"/>
      <c r="J58" s="49"/>
    </row>
    <row r="59" spans="8:10" x14ac:dyDescent="0.25">
      <c r="H59" s="49"/>
      <c r="I59" s="49"/>
      <c r="J59" s="49"/>
    </row>
    <row r="60" spans="8:10" x14ac:dyDescent="0.25">
      <c r="H60" s="49"/>
      <c r="I60" s="49"/>
      <c r="J60" s="49"/>
    </row>
    <row r="61" spans="8:10" x14ac:dyDescent="0.25">
      <c r="H61" s="49"/>
      <c r="I61" s="49"/>
      <c r="J61" s="49"/>
    </row>
    <row r="62" spans="8:10" x14ac:dyDescent="0.25">
      <c r="H62" s="49"/>
      <c r="I62" s="49"/>
      <c r="J62" s="49"/>
    </row>
    <row r="63" spans="8:10" x14ac:dyDescent="0.25">
      <c r="H63" s="49"/>
      <c r="I63" s="49"/>
      <c r="J63" s="49"/>
    </row>
    <row r="64" spans="8:10" x14ac:dyDescent="0.25">
      <c r="H64" s="49"/>
      <c r="I64" s="49"/>
      <c r="J64" s="49"/>
    </row>
    <row r="65" spans="8:10" x14ac:dyDescent="0.25">
      <c r="H65" s="49"/>
      <c r="I65" s="49"/>
      <c r="J65" s="49"/>
    </row>
    <row r="66" spans="8:10" x14ac:dyDescent="0.25">
      <c r="H66" s="49"/>
      <c r="I66" s="49"/>
      <c r="J66" s="49"/>
    </row>
    <row r="67" spans="8:10" x14ac:dyDescent="0.25">
      <c r="H67" s="49"/>
      <c r="I67" s="49"/>
      <c r="J67" s="49"/>
    </row>
    <row r="68" spans="8:10" x14ac:dyDescent="0.25">
      <c r="H68" s="49"/>
      <c r="I68" s="49"/>
      <c r="J68" s="49"/>
    </row>
    <row r="69" spans="8:10" x14ac:dyDescent="0.25">
      <c r="H69" s="49"/>
      <c r="I69" s="49"/>
      <c r="J69" s="49"/>
    </row>
    <row r="70" spans="8:10" x14ac:dyDescent="0.25">
      <c r="H70" s="49"/>
      <c r="I70" s="49"/>
      <c r="J70" s="49"/>
    </row>
    <row r="71" spans="8:10" x14ac:dyDescent="0.25">
      <c r="H71" s="49"/>
      <c r="I71" s="49"/>
      <c r="J71" s="49"/>
    </row>
    <row r="72" spans="8:10" x14ac:dyDescent="0.25">
      <c r="H72" s="49"/>
      <c r="I72" s="49"/>
      <c r="J72" s="49"/>
    </row>
    <row r="73" spans="8:10" x14ac:dyDescent="0.25">
      <c r="H73" s="49"/>
      <c r="I73" s="49"/>
      <c r="J73" s="49"/>
    </row>
    <row r="74" spans="8:10" x14ac:dyDescent="0.25">
      <c r="H74" s="49"/>
      <c r="I74" s="49"/>
      <c r="J74" s="49"/>
    </row>
    <row r="75" spans="8:10" x14ac:dyDescent="0.25">
      <c r="H75" s="49"/>
      <c r="I75" s="49"/>
      <c r="J75" s="49"/>
    </row>
    <row r="76" spans="8:10" x14ac:dyDescent="0.25">
      <c r="H76" s="49"/>
      <c r="I76" s="49"/>
      <c r="J76" s="49"/>
    </row>
    <row r="77" spans="8:10" x14ac:dyDescent="0.25">
      <c r="H77" s="49"/>
      <c r="I77" s="49"/>
      <c r="J77" s="49"/>
    </row>
    <row r="78" spans="8:10" x14ac:dyDescent="0.25">
      <c r="H78" s="49"/>
      <c r="I78" s="49"/>
      <c r="J78" s="49"/>
    </row>
    <row r="79" spans="8:10" x14ac:dyDescent="0.25">
      <c r="H79" s="49"/>
      <c r="I79" s="49"/>
      <c r="J79" s="49"/>
    </row>
    <row r="80" spans="8:10" x14ac:dyDescent="0.25">
      <c r="H80" s="49"/>
      <c r="I80" s="49"/>
      <c r="J80" s="49"/>
    </row>
    <row r="81" spans="8:10" x14ac:dyDescent="0.25">
      <c r="H81" s="49"/>
      <c r="I81" s="49"/>
      <c r="J81" s="49"/>
    </row>
    <row r="82" spans="8:10" x14ac:dyDescent="0.25">
      <c r="H82" s="49"/>
      <c r="I82" s="49"/>
      <c r="J82" s="49"/>
    </row>
    <row r="83" spans="8:10" x14ac:dyDescent="0.25">
      <c r="H83" s="49"/>
      <c r="I83" s="49"/>
      <c r="J83" s="49"/>
    </row>
    <row r="84" spans="8:10" x14ac:dyDescent="0.25">
      <c r="H84" s="49"/>
      <c r="I84" s="49"/>
      <c r="J84" s="49"/>
    </row>
    <row r="85" spans="8:10" x14ac:dyDescent="0.25">
      <c r="H85" s="49"/>
      <c r="I85" s="49"/>
      <c r="J85" s="49"/>
    </row>
    <row r="86" spans="8:10" x14ac:dyDescent="0.25">
      <c r="H86" s="49"/>
      <c r="I86" s="49"/>
      <c r="J86" s="49"/>
    </row>
    <row r="87" spans="8:10" x14ac:dyDescent="0.25">
      <c r="H87" s="49"/>
      <c r="I87" s="49"/>
      <c r="J87" s="49"/>
    </row>
    <row r="88" spans="8:10" x14ac:dyDescent="0.25">
      <c r="H88" s="49"/>
      <c r="I88" s="49"/>
      <c r="J88" s="49"/>
    </row>
    <row r="89" spans="8:10" x14ac:dyDescent="0.25">
      <c r="H89" s="49"/>
      <c r="I89" s="49"/>
      <c r="J89" s="49"/>
    </row>
    <row r="90" spans="8:10" x14ac:dyDescent="0.25">
      <c r="H90" s="49"/>
      <c r="I90" s="49"/>
      <c r="J90" s="49"/>
    </row>
    <row r="91" spans="8:10" x14ac:dyDescent="0.25">
      <c r="H91" s="49"/>
      <c r="I91" s="49"/>
      <c r="J91" s="49"/>
    </row>
    <row r="92" spans="8:10" x14ac:dyDescent="0.25">
      <c r="H92" s="49"/>
      <c r="I92" s="49"/>
      <c r="J92" s="49"/>
    </row>
    <row r="93" spans="8:10" x14ac:dyDescent="0.25">
      <c r="H93" s="49"/>
      <c r="I93" s="49"/>
      <c r="J93" s="49"/>
    </row>
    <row r="94" spans="8:10" x14ac:dyDescent="0.25">
      <c r="H94" s="49"/>
      <c r="I94" s="49"/>
      <c r="J94" s="49"/>
    </row>
    <row r="95" spans="8:10" x14ac:dyDescent="0.25">
      <c r="H95" s="49"/>
      <c r="I95" s="49"/>
      <c r="J95" s="49"/>
    </row>
    <row r="96" spans="8:10" x14ac:dyDescent="0.25">
      <c r="H96" s="49"/>
      <c r="I96" s="49"/>
      <c r="J96" s="49"/>
    </row>
    <row r="97" spans="8:10" x14ac:dyDescent="0.25">
      <c r="H97" s="49"/>
      <c r="I97" s="49"/>
      <c r="J97" s="49"/>
    </row>
    <row r="98" spans="8:10" x14ac:dyDescent="0.25">
      <c r="H98" s="49"/>
      <c r="I98" s="49"/>
      <c r="J98" s="49"/>
    </row>
    <row r="99" spans="8:10" x14ac:dyDescent="0.25">
      <c r="H99" s="49"/>
      <c r="I99" s="49"/>
      <c r="J99" s="49"/>
    </row>
    <row r="100" spans="8:10" x14ac:dyDescent="0.25">
      <c r="H100" s="49"/>
      <c r="I100" s="49"/>
      <c r="J100" s="49"/>
    </row>
    <row r="101" spans="8:10" x14ac:dyDescent="0.25">
      <c r="H101" s="49"/>
      <c r="I101" s="49"/>
      <c r="J101" s="49"/>
    </row>
    <row r="102" spans="8:10" x14ac:dyDescent="0.25">
      <c r="H102" s="49"/>
      <c r="I102" s="49"/>
      <c r="J102" s="49"/>
    </row>
    <row r="103" spans="8:10" x14ac:dyDescent="0.25">
      <c r="H103" s="49"/>
      <c r="I103" s="49"/>
      <c r="J103" s="49"/>
    </row>
    <row r="104" spans="8:10" x14ac:dyDescent="0.25">
      <c r="H104" s="49"/>
      <c r="I104" s="49"/>
      <c r="J104" s="49"/>
    </row>
    <row r="105" spans="8:10" x14ac:dyDescent="0.25">
      <c r="H105" s="49"/>
      <c r="I105" s="49"/>
      <c r="J105" s="49"/>
    </row>
    <row r="106" spans="8:10" x14ac:dyDescent="0.25">
      <c r="H106" s="49"/>
      <c r="I106" s="49"/>
      <c r="J106" s="49"/>
    </row>
    <row r="107" spans="8:10" x14ac:dyDescent="0.25">
      <c r="H107" s="49"/>
      <c r="I107" s="49"/>
      <c r="J107" s="49"/>
    </row>
    <row r="108" spans="8:10" x14ac:dyDescent="0.25">
      <c r="H108" s="49"/>
      <c r="I108" s="49"/>
      <c r="J108" s="49"/>
    </row>
    <row r="109" spans="8:10" x14ac:dyDescent="0.25">
      <c r="H109" s="49"/>
      <c r="I109" s="49"/>
      <c r="J109" s="49"/>
    </row>
    <row r="110" spans="8:10" x14ac:dyDescent="0.25">
      <c r="H110" s="49"/>
      <c r="I110" s="49"/>
      <c r="J110" s="49"/>
    </row>
    <row r="111" spans="8:10" x14ac:dyDescent="0.25">
      <c r="H111" s="49"/>
      <c r="I111" s="49"/>
      <c r="J111" s="49"/>
    </row>
    <row r="112" spans="8:10" x14ac:dyDescent="0.25">
      <c r="H112" s="49"/>
      <c r="I112" s="49"/>
      <c r="J112" s="49"/>
    </row>
    <row r="113" spans="8:10" x14ac:dyDescent="0.25">
      <c r="H113" s="49"/>
      <c r="I113" s="49"/>
      <c r="J113" s="49"/>
    </row>
    <row r="114" spans="8:10" x14ac:dyDescent="0.25">
      <c r="H114" s="49"/>
      <c r="I114" s="49"/>
      <c r="J114" s="49"/>
    </row>
    <row r="115" spans="8:10" x14ac:dyDescent="0.25">
      <c r="H115" s="49"/>
      <c r="I115" s="49"/>
      <c r="J115" s="49"/>
    </row>
    <row r="116" spans="8:10" x14ac:dyDescent="0.25">
      <c r="H116" s="49"/>
      <c r="I116" s="49"/>
      <c r="J116" s="49"/>
    </row>
    <row r="117" spans="8:10" x14ac:dyDescent="0.25">
      <c r="H117" s="49"/>
      <c r="I117" s="49"/>
      <c r="J117" s="49"/>
    </row>
    <row r="118" spans="8:10" x14ac:dyDescent="0.25">
      <c r="H118" s="49"/>
      <c r="I118" s="49"/>
      <c r="J118" s="49"/>
    </row>
    <row r="119" spans="8:10" x14ac:dyDescent="0.25">
      <c r="H119" s="49"/>
      <c r="I119" s="49"/>
      <c r="J119" s="49"/>
    </row>
    <row r="120" spans="8:10" x14ac:dyDescent="0.25">
      <c r="H120" s="49"/>
      <c r="I120" s="49"/>
      <c r="J120" s="49"/>
    </row>
    <row r="121" spans="8:10" x14ac:dyDescent="0.25">
      <c r="H121" s="49"/>
      <c r="I121" s="49"/>
      <c r="J121" s="49"/>
    </row>
    <row r="122" spans="8:10" x14ac:dyDescent="0.25">
      <c r="H122" s="49"/>
      <c r="I122" s="49"/>
      <c r="J122" s="49"/>
    </row>
    <row r="123" spans="8:10" x14ac:dyDescent="0.25">
      <c r="H123" s="49"/>
      <c r="I123" s="49"/>
      <c r="J123" s="49"/>
    </row>
    <row r="124" spans="8:10" x14ac:dyDescent="0.25">
      <c r="H124" s="49"/>
      <c r="I124" s="49"/>
      <c r="J124" s="49"/>
    </row>
    <row r="125" spans="8:10" x14ac:dyDescent="0.25">
      <c r="H125" s="49"/>
      <c r="I125" s="49"/>
      <c r="J125" s="49"/>
    </row>
    <row r="126" spans="8:10" x14ac:dyDescent="0.25">
      <c r="H126" s="49"/>
      <c r="I126" s="49"/>
      <c r="J126" s="49"/>
    </row>
    <row r="127" spans="8:10" x14ac:dyDescent="0.25">
      <c r="H127" s="49"/>
      <c r="I127" s="49"/>
      <c r="J127" s="49"/>
    </row>
    <row r="128" spans="8:10" x14ac:dyDescent="0.25">
      <c r="H128" s="49"/>
      <c r="I128" s="49"/>
      <c r="J128" s="49"/>
    </row>
    <row r="129" spans="8:10" x14ac:dyDescent="0.25">
      <c r="H129" s="49"/>
      <c r="I129" s="49"/>
      <c r="J129" s="49"/>
    </row>
    <row r="130" spans="8:10" x14ac:dyDescent="0.25">
      <c r="H130" s="49"/>
      <c r="I130" s="49"/>
      <c r="J130" s="49"/>
    </row>
    <row r="131" spans="8:10" x14ac:dyDescent="0.25">
      <c r="H131" s="49"/>
      <c r="I131" s="49"/>
      <c r="J131" s="49"/>
    </row>
    <row r="132" spans="8:10" x14ac:dyDescent="0.25">
      <c r="H132" s="49"/>
      <c r="I132" s="49"/>
      <c r="J132" s="49"/>
    </row>
    <row r="133" spans="8:10" x14ac:dyDescent="0.25">
      <c r="H133" s="49"/>
      <c r="I133" s="49"/>
      <c r="J133" s="49"/>
    </row>
    <row r="134" spans="8:10" x14ac:dyDescent="0.25">
      <c r="H134" s="49"/>
      <c r="I134" s="49"/>
      <c r="J134" s="49"/>
    </row>
    <row r="135" spans="8:10" x14ac:dyDescent="0.25">
      <c r="H135" s="49"/>
      <c r="I135" s="49"/>
      <c r="J135" s="49"/>
    </row>
    <row r="136" spans="8:10" x14ac:dyDescent="0.25">
      <c r="H136" s="49"/>
      <c r="I136" s="49"/>
      <c r="J136" s="49"/>
    </row>
    <row r="137" spans="8:10" x14ac:dyDescent="0.25">
      <c r="H137" s="49"/>
      <c r="I137" s="49"/>
      <c r="J137" s="49"/>
    </row>
    <row r="138" spans="8:10" x14ac:dyDescent="0.25">
      <c r="H138" s="49"/>
      <c r="I138" s="49"/>
      <c r="J138" s="49"/>
    </row>
    <row r="139" spans="8:10" x14ac:dyDescent="0.25">
      <c r="H139" s="49"/>
      <c r="I139" s="49"/>
      <c r="J139" s="49"/>
    </row>
    <row r="140" spans="8:10" x14ac:dyDescent="0.25">
      <c r="H140" s="49"/>
      <c r="I140" s="49"/>
      <c r="J140" s="49"/>
    </row>
    <row r="141" spans="8:10" x14ac:dyDescent="0.25">
      <c r="H141" s="49"/>
      <c r="I141" s="49"/>
      <c r="J141" s="49"/>
    </row>
    <row r="142" spans="8:10" x14ac:dyDescent="0.25">
      <c r="H142" s="49"/>
      <c r="I142" s="49"/>
      <c r="J142" s="49"/>
    </row>
    <row r="143" spans="8:10" x14ac:dyDescent="0.25">
      <c r="H143" s="49"/>
      <c r="I143" s="49"/>
      <c r="J143" s="49"/>
    </row>
    <row r="144" spans="8:10" x14ac:dyDescent="0.25">
      <c r="H144" s="49"/>
      <c r="I144" s="49"/>
      <c r="J144" s="49"/>
    </row>
    <row r="145" spans="8:10" x14ac:dyDescent="0.25">
      <c r="H145" s="49"/>
      <c r="I145" s="49"/>
      <c r="J145" s="49"/>
    </row>
    <row r="146" spans="8:10" x14ac:dyDescent="0.25">
      <c r="H146" s="49"/>
      <c r="I146" s="49"/>
      <c r="J146" s="49"/>
    </row>
    <row r="147" spans="8:10" x14ac:dyDescent="0.25">
      <c r="H147" s="49"/>
      <c r="I147" s="49"/>
      <c r="J147" s="49"/>
    </row>
    <row r="148" spans="8:10" x14ac:dyDescent="0.25">
      <c r="H148" s="49"/>
      <c r="I148" s="49"/>
      <c r="J148" s="49"/>
    </row>
    <row r="149" spans="8:10" x14ac:dyDescent="0.25">
      <c r="H149" s="49"/>
      <c r="I149" s="49"/>
      <c r="J149" s="49"/>
    </row>
    <row r="150" spans="8:10" x14ac:dyDescent="0.25">
      <c r="H150" s="49"/>
      <c r="I150" s="49"/>
      <c r="J150" s="49"/>
    </row>
    <row r="151" spans="8:10" x14ac:dyDescent="0.25">
      <c r="H151" s="49"/>
      <c r="I151" s="49"/>
      <c r="J151" s="49"/>
    </row>
    <row r="152" spans="8:10" x14ac:dyDescent="0.25">
      <c r="H152" s="49"/>
      <c r="I152" s="49"/>
      <c r="J152" s="49"/>
    </row>
    <row r="153" spans="8:10" x14ac:dyDescent="0.25">
      <c r="H153" s="49"/>
      <c r="I153" s="49"/>
      <c r="J153" s="49"/>
    </row>
    <row r="154" spans="8:10" x14ac:dyDescent="0.25">
      <c r="H154" s="49"/>
      <c r="I154" s="49"/>
      <c r="J154" s="49"/>
    </row>
    <row r="155" spans="8:10" x14ac:dyDescent="0.25">
      <c r="H155" s="49"/>
      <c r="I155" s="49"/>
      <c r="J155" s="49"/>
    </row>
    <row r="156" spans="8:10" x14ac:dyDescent="0.25">
      <c r="H156" s="49"/>
      <c r="I156" s="49"/>
      <c r="J156" s="49"/>
    </row>
    <row r="157" spans="8:10" x14ac:dyDescent="0.25">
      <c r="H157" s="49"/>
      <c r="I157" s="49"/>
      <c r="J157" s="49"/>
    </row>
    <row r="158" spans="8:10" x14ac:dyDescent="0.25">
      <c r="H158" s="49"/>
      <c r="I158" s="49"/>
      <c r="J158" s="49"/>
    </row>
    <row r="159" spans="8:10" x14ac:dyDescent="0.25">
      <c r="H159" s="49"/>
      <c r="I159" s="49"/>
      <c r="J159" s="49"/>
    </row>
    <row r="160" spans="8:10" x14ac:dyDescent="0.25">
      <c r="H160" s="49"/>
      <c r="I160" s="49"/>
      <c r="J160" s="49"/>
    </row>
    <row r="161" spans="8:10" x14ac:dyDescent="0.25">
      <c r="H161" s="49"/>
      <c r="I161" s="49"/>
      <c r="J161" s="49"/>
    </row>
    <row r="162" spans="8:10" x14ac:dyDescent="0.25">
      <c r="H162" s="49"/>
      <c r="I162" s="49"/>
      <c r="J162" s="49"/>
    </row>
    <row r="163" spans="8:10" x14ac:dyDescent="0.25">
      <c r="H163" s="49"/>
      <c r="I163" s="49"/>
      <c r="J163" s="49"/>
    </row>
    <row r="164" spans="8:10" x14ac:dyDescent="0.25">
      <c r="H164" s="49"/>
      <c r="I164" s="49"/>
      <c r="J164" s="49"/>
    </row>
    <row r="165" spans="8:10" x14ac:dyDescent="0.25">
      <c r="H165" s="49"/>
      <c r="I165" s="49"/>
      <c r="J165" s="49"/>
    </row>
    <row r="166" spans="8:10" x14ac:dyDescent="0.25">
      <c r="H166" s="49"/>
      <c r="I166" s="49"/>
      <c r="J166" s="49"/>
    </row>
    <row r="167" spans="8:10" x14ac:dyDescent="0.25">
      <c r="H167" s="49"/>
      <c r="I167" s="49"/>
      <c r="J167" s="49"/>
    </row>
    <row r="168" spans="8:10" x14ac:dyDescent="0.25">
      <c r="H168" s="49"/>
      <c r="I168" s="49"/>
      <c r="J168" s="49"/>
    </row>
    <row r="169" spans="8:10" x14ac:dyDescent="0.25">
      <c r="H169" s="49"/>
      <c r="I169" s="49"/>
      <c r="J169" s="49"/>
    </row>
    <row r="170" spans="8:10" x14ac:dyDescent="0.25">
      <c r="H170" s="49"/>
      <c r="I170" s="49"/>
      <c r="J170" s="49"/>
    </row>
    <row r="171" spans="8:10" x14ac:dyDescent="0.25">
      <c r="H171" s="49"/>
      <c r="I171" s="49"/>
      <c r="J171" s="49"/>
    </row>
    <row r="172" spans="8:10" x14ac:dyDescent="0.25">
      <c r="H172" s="49"/>
      <c r="I172" s="49"/>
      <c r="J172" s="49"/>
    </row>
    <row r="173" spans="8:10" x14ac:dyDescent="0.25">
      <c r="H173" s="49"/>
      <c r="I173" s="49"/>
      <c r="J173" s="49"/>
    </row>
    <row r="174" spans="8:10" x14ac:dyDescent="0.25">
      <c r="H174" s="49"/>
      <c r="I174" s="49"/>
      <c r="J174" s="49"/>
    </row>
    <row r="175" spans="8:10" x14ac:dyDescent="0.25">
      <c r="H175" s="49"/>
      <c r="I175" s="49"/>
      <c r="J175" s="49"/>
    </row>
    <row r="176" spans="8:10" x14ac:dyDescent="0.25">
      <c r="H176" s="49"/>
      <c r="I176" s="49"/>
      <c r="J176" s="49"/>
    </row>
    <row r="177" spans="8:10" x14ac:dyDescent="0.25">
      <c r="H177" s="49"/>
      <c r="I177" s="49"/>
      <c r="J177" s="49"/>
    </row>
    <row r="178" spans="8:10" x14ac:dyDescent="0.25">
      <c r="H178" s="49"/>
      <c r="I178" s="49"/>
      <c r="J178" s="49"/>
    </row>
    <row r="179" spans="8:10" x14ac:dyDescent="0.25">
      <c r="H179" s="49"/>
      <c r="I179" s="49"/>
      <c r="J179" s="49"/>
    </row>
    <row r="180" spans="8:10" x14ac:dyDescent="0.25">
      <c r="H180" s="49"/>
      <c r="I180" s="49"/>
      <c r="J180" s="49"/>
    </row>
    <row r="181" spans="8:10" x14ac:dyDescent="0.25">
      <c r="H181" s="49"/>
      <c r="I181" s="49"/>
      <c r="J181" s="49"/>
    </row>
    <row r="182" spans="8:10" x14ac:dyDescent="0.25">
      <c r="H182" s="49"/>
      <c r="I182" s="49"/>
      <c r="J182" s="49"/>
    </row>
    <row r="183" spans="8:10" x14ac:dyDescent="0.25">
      <c r="H183" s="49"/>
      <c r="I183" s="49"/>
      <c r="J183" s="49"/>
    </row>
    <row r="184" spans="8:10" x14ac:dyDescent="0.25">
      <c r="H184" s="49"/>
      <c r="I184" s="49"/>
      <c r="J184" s="49"/>
    </row>
    <row r="185" spans="8:10" x14ac:dyDescent="0.25">
      <c r="H185" s="49"/>
      <c r="I185" s="49"/>
      <c r="J185" s="49"/>
    </row>
    <row r="186" spans="8:10" x14ac:dyDescent="0.25">
      <c r="H186" s="49"/>
      <c r="I186" s="49"/>
      <c r="J186" s="49"/>
    </row>
    <row r="187" spans="8:10" x14ac:dyDescent="0.25">
      <c r="H187" s="49"/>
      <c r="I187" s="49"/>
      <c r="J187" s="49"/>
    </row>
    <row r="188" spans="8:10" x14ac:dyDescent="0.25">
      <c r="H188" s="49"/>
      <c r="I188" s="49"/>
      <c r="J188" s="49"/>
    </row>
    <row r="189" spans="8:10" x14ac:dyDescent="0.25">
      <c r="H189" s="49"/>
      <c r="I189" s="49"/>
      <c r="J189" s="49"/>
    </row>
    <row r="190" spans="8:10" x14ac:dyDescent="0.25">
      <c r="H190" s="49"/>
      <c r="I190" s="49"/>
      <c r="J190" s="49"/>
    </row>
    <row r="191" spans="8:10" x14ac:dyDescent="0.25">
      <c r="H191" s="49"/>
      <c r="I191" s="49"/>
      <c r="J191" s="49"/>
    </row>
    <row r="192" spans="8:10" x14ac:dyDescent="0.25">
      <c r="H192" s="49"/>
      <c r="I192" s="49"/>
      <c r="J192" s="49"/>
    </row>
    <row r="193" spans="8:10" x14ac:dyDescent="0.25">
      <c r="H193" s="49"/>
      <c r="I193" s="49"/>
      <c r="J193" s="49"/>
    </row>
    <row r="194" spans="8:10" x14ac:dyDescent="0.25">
      <c r="H194" s="49"/>
      <c r="I194" s="49"/>
      <c r="J194" s="49"/>
    </row>
    <row r="195" spans="8:10" x14ac:dyDescent="0.25">
      <c r="H195" s="49"/>
      <c r="I195" s="49"/>
      <c r="J195" s="49"/>
    </row>
    <row r="196" spans="8:10" x14ac:dyDescent="0.25">
      <c r="H196" s="49"/>
      <c r="I196" s="49"/>
      <c r="J196" s="49"/>
    </row>
    <row r="197" spans="8:10" x14ac:dyDescent="0.25">
      <c r="H197" s="49"/>
      <c r="I197" s="49"/>
      <c r="J197" s="49"/>
    </row>
    <row r="198" spans="8:10" x14ac:dyDescent="0.25">
      <c r="H198" s="49"/>
      <c r="I198" s="49"/>
      <c r="J198" s="49"/>
    </row>
    <row r="199" spans="8:10" x14ac:dyDescent="0.25">
      <c r="H199" s="49"/>
      <c r="I199" s="49"/>
      <c r="J199" s="49"/>
    </row>
    <row r="200" spans="8:10" x14ac:dyDescent="0.25">
      <c r="H200" s="49"/>
      <c r="I200" s="49"/>
      <c r="J200" s="49"/>
    </row>
  </sheetData>
  <sheetProtection sheet="1" objects="1" scenarios="1" selectLockedCells="1" sort="0" autoFilter="0"/>
  <autoFilter ref="H1:J8" xr:uid="{448E8F7C-AD93-4954-A620-5C50D25EC1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0EBC2-52F1-4CE1-A3A5-0FF4D275C1F6}">
  <sheetPr codeName="Sheet3">
    <tabColor rgb="FF0070C0"/>
    <pageSetUpPr fitToPage="1"/>
  </sheetPr>
  <dimension ref="A1:E15"/>
  <sheetViews>
    <sheetView showGridLines="0" workbookViewId="0"/>
  </sheetViews>
  <sheetFormatPr defaultRowHeight="15" x14ac:dyDescent="0.25"/>
  <cols>
    <col min="1" max="1" width="2.7109375" style="78" customWidth="1"/>
    <col min="2" max="2" width="10.85546875" style="78" customWidth="1"/>
    <col min="3" max="3" width="45.28515625" style="78" customWidth="1"/>
    <col min="4" max="4" width="9.7109375" style="78" customWidth="1"/>
    <col min="5" max="5" width="16.42578125" style="78" customWidth="1"/>
    <col min="6" max="16384" width="9.140625" style="78"/>
  </cols>
  <sheetData>
    <row r="1" spans="1:5" x14ac:dyDescent="0.25">
      <c r="C1" s="110" t="s">
        <v>89</v>
      </c>
      <c r="D1" s="110"/>
      <c r="E1" s="79" t="s">
        <v>61</v>
      </c>
    </row>
    <row r="2" spans="1:5" x14ac:dyDescent="0.25">
      <c r="C2" s="111" t="s">
        <v>95</v>
      </c>
      <c r="D2" s="111"/>
      <c r="E2" s="80"/>
    </row>
    <row r="3" spans="1:5" x14ac:dyDescent="0.25">
      <c r="C3" s="110"/>
      <c r="D3" s="110"/>
      <c r="E3" s="80"/>
    </row>
    <row r="4" spans="1:5" x14ac:dyDescent="0.25">
      <c r="E4" s="80"/>
    </row>
    <row r="5" spans="1:5" x14ac:dyDescent="0.25">
      <c r="B5" s="77" t="s">
        <v>68</v>
      </c>
      <c r="C5" s="75"/>
      <c r="E5" s="80"/>
    </row>
    <row r="6" spans="1:5" x14ac:dyDescent="0.25">
      <c r="B6" s="77" t="s">
        <v>71</v>
      </c>
      <c r="C6" s="76"/>
      <c r="E6" s="80"/>
    </row>
    <row r="7" spans="1:5" x14ac:dyDescent="0.25">
      <c r="B7" s="77" t="s">
        <v>69</v>
      </c>
      <c r="C7" s="122"/>
      <c r="E7" s="79"/>
    </row>
    <row r="8" spans="1:5" x14ac:dyDescent="0.25">
      <c r="B8" s="77" t="s">
        <v>72</v>
      </c>
      <c r="C8" s="76"/>
      <c r="E8" s="81"/>
    </row>
    <row r="9" spans="1:5" ht="30" customHeight="1" x14ac:dyDescent="0.25">
      <c r="B9" s="112" t="s">
        <v>67</v>
      </c>
      <c r="C9" s="112"/>
      <c r="D9" s="112"/>
      <c r="E9" s="112"/>
    </row>
    <row r="10" spans="1:5" ht="24" x14ac:dyDescent="0.4">
      <c r="B10" s="114"/>
      <c r="C10" s="115"/>
      <c r="D10" s="115"/>
      <c r="E10" s="116"/>
    </row>
    <row r="11" spans="1:5" ht="24" customHeight="1" x14ac:dyDescent="0.4">
      <c r="A11" s="82"/>
      <c r="B11" s="117"/>
      <c r="C11" s="118"/>
      <c r="D11" s="118"/>
      <c r="E11" s="119"/>
    </row>
    <row r="12" spans="1:5" x14ac:dyDescent="0.25">
      <c r="A12" s="83"/>
      <c r="B12" s="120"/>
      <c r="C12" s="120"/>
      <c r="D12" s="120"/>
      <c r="E12" s="120"/>
    </row>
    <row r="13" spans="1:5" x14ac:dyDescent="0.25">
      <c r="E13" s="84"/>
    </row>
    <row r="14" spans="1:5" ht="24.75" thickBot="1" x14ac:dyDescent="0.3">
      <c r="A14" s="85"/>
      <c r="B14" s="113" t="s">
        <v>70</v>
      </c>
      <c r="C14" s="113"/>
      <c r="D14" s="113"/>
      <c r="E14" s="113"/>
    </row>
    <row r="15" spans="1:5" x14ac:dyDescent="0.25">
      <c r="B15" s="108" t="s">
        <v>0</v>
      </c>
      <c r="C15" s="109"/>
      <c r="D15" s="86" t="s">
        <v>1</v>
      </c>
      <c r="E15" s="86" t="s">
        <v>2</v>
      </c>
    </row>
  </sheetData>
  <mergeCells count="9">
    <mergeCell ref="B15:C15"/>
    <mergeCell ref="C1:D1"/>
    <mergeCell ref="C2:D2"/>
    <mergeCell ref="C3:D3"/>
    <mergeCell ref="B9:E9"/>
    <mergeCell ref="B14:E14"/>
    <mergeCell ref="B10:E10"/>
    <mergeCell ref="B11:E11"/>
    <mergeCell ref="B12:E12"/>
  </mergeCells>
  <pageMargins left="0.70866141732283472" right="0.70866141732283472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8C21D-EE83-493C-9C6B-BB9CB432D58F}">
  <sheetPr codeName="Sheet4">
    <tabColor rgb="FF0070C0"/>
    <pageSetUpPr fitToPage="1"/>
  </sheetPr>
  <dimension ref="B1:D2"/>
  <sheetViews>
    <sheetView showGridLines="0" workbookViewId="0"/>
  </sheetViews>
  <sheetFormatPr defaultRowHeight="15" x14ac:dyDescent="0.25"/>
  <cols>
    <col min="1" max="1" width="2.7109375" customWidth="1"/>
    <col min="2" max="2" width="28.5703125" customWidth="1"/>
    <col min="3" max="3" width="38.85546875" customWidth="1"/>
    <col min="4" max="4" width="18.28515625" customWidth="1"/>
  </cols>
  <sheetData>
    <row r="1" spans="2:4" ht="24.75" thickBot="1" x14ac:dyDescent="0.3">
      <c r="B1" s="121" t="s">
        <v>80</v>
      </c>
      <c r="C1" s="121"/>
      <c r="D1" s="121"/>
    </row>
    <row r="2" spans="2:4" x14ac:dyDescent="0.25">
      <c r="B2" s="51" t="s">
        <v>0</v>
      </c>
      <c r="C2" s="52" t="s">
        <v>3</v>
      </c>
      <c r="D2" s="50" t="s">
        <v>1</v>
      </c>
    </row>
  </sheetData>
  <mergeCells count="1">
    <mergeCell ref="B1:D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4174813f-e8b2-4b0f-8a14-c19154577716</TitusGUID>
  <TitusMetadata xmlns="">eyJucyI6Imh0dHA6XC9cL3d3dy50aXR1cy5jb21cL25zXC9Sb2xscy1Sb3ljZSIsInByb3BzIjpbeyJuIjoiUlJUSVRVUyIsInZhbHMiOlt7InZhbHVlIjoiTm8gQ2xhc3NpZmljYXRpb24ifV19LHsibiI6IlJldGVudGlvbkRlY2lzaW9uIiwidmFscyI6W3sidmFsdWUiOiJObyByZXF1aXJlbWVudCB0byByZXRhaW4ifV19LHsibiI6IkRhdGVSZXRlbnRpb24iLCJ2YWxzIjpbXX0seyJuIjoiRXhwb3J0Q29udHJvbCIsInZhbHMiOlt7InZhbHVlIjoiTm8ifV19LHsibiI6IkVDVUtMaXN0IiwidmFscyI6W119LHsibiI6IlVLRVVEdWFsVXNlIiwidmFscyI6W119LHsibiI6IlVLVUtEdWFsVXNlIiwidmFscyI6W119LHsibiI6IlVLVUtNaWxpdGFyeSIsInZhbHMiOltdfSx7Im4iOiJFQ090aGVyTGlzdCIsInZhbHMiOltdfSx7Im4iOiJBVEVVRHVhbFVzZSIsInZhbHMiOltdfSx7Im4iOiJBVEVVTWlsaXRhcnkiLCJ2YWxzIjpbXX0seyJuIjoiQkVFVUR1YWxVc2UiLCJ2YWxzIjpbXX0seyJuIjoiQkVFVU1pbGl0YXJ5IiwidmFscyI6W119LHsibiI6IkJHRVVEdWFsVXNlIiwidmFscyI6W119LHsibiI6IkJHRVVNaWxpdGFyeSIsInZhbHMiOltdfSx7Im4iOiJDQUR1YWxVc2UiLCJ2YWxzIjpbXX0seyJuIjoiQ0FNVENSIiwidmFscyI6W119LHsibiI6IkNBTXVuIiwidmFscyI6W119LHsibiI6IkNhTXVuQ0dQIiwidmFscyI6W119LHsibiI6IkNBTkwiLCJ2YWxzIjpbXX0seyJuIjoiQ0FOTlAiLCJ2YWxzIjpbXX0seyJuIjoiQ0FVU09yaWdpbiIsInZhbHMiOltdfSx7Im4iOiJIUkVVRHVhbFVzZSIsInZhbHMiOltdfSx7Im4iOiJIUkVVTWlsaXRhcnkiLCJ2YWxzIjpbXX0seyJuIjoiQ1lFVUR1YWxVc2UiLCJ2YWxzIjpbXX0seyJuIjoiQ1lFVU1pbGl0YXJ5IiwidmFscyI6W119LHsibiI6IkNaRVVEdWFsVXNlIiwidmFscyI6W119LHsibiI6IkNaRVVNaWxpdGFyeSIsInZhbHMiOltdfSx7Im4iOiJES0VVRHVhbFVzZSIsInZhbHMiOltdfSx7Im4iOiJES0VVTWlsaXRhcnkiLCJ2YWxzIjpbXX0seyJuIjoiREtOTCIsInZhbHMiOltdfSx7Im4iOiJFRUVVRHVhbFVzZSIsInZhbHMiOltdfSx7Im4iOiJFRUVVTWlsaXRhcnkiLCJ2YWxzIjpbXX0seyJuIjoiRklFVUR1YWxVc2UiLCJ2YWxzIjpbXX0seyJuIjoiRklFVU1pbGl0YXJ5IiwidmFscyI6W119LHsibiI6IkZJTkwiLCJ2YWxzIjpbXX0seyJuIjoiRlJFVUR1YWxVc2UiLCJ2YWxzIjpbXX0seyJuIjoiRlJFVU1pbGl0YXJ5IiwidmFscyI6W119LHsibiI6IkZSTkwiLCJ2YWxzIjpbXX0seyJuIjoiREVFVUR1YWxVc2UiLCJ2YWxzIjpbXX0seyJuIjoiREVFVU1pbGl0YXJ5IiwidmFscyI6W119LHsibiI6IkRFREVNaWxpdGFyeSIsInZhbHMiOltdfSx7Im4iOiJERU5MIiwidmFscyI6W119LHsibiI6IkdSRVVEdWFsVXNlIiwidmFscyI6W119LHsibiI6IkdSRVVNaWxpdGFyeSIsInZhbHMiOltdfSx7Im4iOiJIVUVVRHVhbFVzZSIsInZhbHMiOltdfSx7Im4iOiJIVUVVTWlsaXRhcnkiLCJ2YWxzIjpbXX0seyJuIjoiSFVOTCIsInZhbHMiOltdfSx7Im4iOiJJTlNDT01FVCIsInZhbHMiOltdfSx7Im4iOiJJRUVVRHVhbFVzZSIsInZhbHMiOltdfSx7Im4iOiJJRUVVTWlsaXRhcnkiLCJ2YWxzIjpbXX0seyJuIjoiSVRFVUR1YWxVc2UiLCJ2YWxzIjpbXX0seyJuIjoiSVRFVU1pbGl0YXJ5IiwidmFscyI6W119LHsibiI6IkpQRGVmZW5jZUFydGljbGUiLCJ2YWxzIjpbXX0seyJuIjoiSlBOTCIsInZhbHMiOltdfSx7Im4iOiJMVkVVRHVhbFVzZSIsInZhbHMiOltdfSx7Im4iOiJMVkVVTWlsaXRhcnkiLCJ2YWxzIjpbXX0seyJuIjoiTFRFVUR1YWxVc2UiLCJ2YWxzIjpbXX0seyJuIjoiTFRFVU1pbGl0YXJ5IiwidmFscyI6W119LHsibiI6IkxVRVVEdWFsVXNlIiwidmFscyI6W119LHsibiI6IkxVRVVNaWxpdGFyeSIsInZhbHMiOltdfSx7Im4iOiJNVEVVRHVhbFVzZSIsInZhbHMiOltdfSx7Im4iOiJNVEVVTWlsaXRhcnkiLCJ2YWxzIjpbXX0seyJuIjoiTkxFVUR1YWxVc2UiLCJ2YWxzIjpbXX0seyJuIjoiTkxFVU1pbGl0YXJ5IiwidmFscyI6W119LHsibiI6Ik5PRVVEdWFsVXNlIiwidmFscyI6W119LHsibiI6Ik5PRVVNaWxpdGFyeSIsInZhbHMiOltdfSx7Im4iOiJOT05MIiwidmFscyI6W119LHsibiI6IlBMRVVEdWFsVXNlIiwidmFscyI6W119LHsibiI6IlBMRVVNaWxpdGFyeSIsInZhbHMiOltdfSx7Im4iOiJQTE5MIiwidmFscyI6W119LHsibiI6IlBURVVEdWFsVXNlIiwidmFscyI6W119LHsibiI6IlBURVVNaWxpdGFyeSIsInZhbHMiOltdfSx7Im4iOiJST0VVRHVhbFVzZSIsInZhbHMiOltdfSx7Im4iOiJST0VVTWlsaXRhcnkiLCJ2YWxzIjpbXX0seyJuIjoiU0FOTCIsInZhbHMiOltdfSx7Im4iOiJTR0R1YWxVc2UiLCJ2YWxzIjpbXX0seyJuIjoiU0dNaWxpdGFyeSIsInZhbHMiOltdfSx7Im4iOiJTR05MIiwidmFscyI6W119LHsibiI6IlNLRVVEdWFsVXNlIiwidmFscyI6W119LHsibiI6IlNLRVVNaWxpdGFyeSIsInZhbHMiOltdfSx7Im4iOiJTSUVVRHVhbFVzZSIsInZhbHMiOltdfSx7Im4iOiJTSUVVTWlsaXRhcnkiLCJ2YWxzIjpbXX0seyJuIjoiS1JOTCIsInZhbHMiOltdfSx7Im4iOiJFU0VVRHVhbFVzZSIsInZhbHMiOltdfSx7Im4iOiJFU0VVTWlsaXRhcnkiLCJ2YWxzIjpbXX0seyJuIjoiRVNOTCIsInZhbHMiOltdfSx7Im4iOiJTRUVVRHVhbFVzZSIsInZhbHMiOltdfSx7Im4iOiJTRUVVTWlsaXRhcnkiLCJ2YWxzIjpbXX0seyJuIjoiU0VOTCIsInZhbHMiOltdfSx7Im4iOiJUV0R1YWxVc2UiLCJ2YWxzIjpbXX0seyJuIjoiVFdNaWxpdGFyeSIsInZhbHMiOltdfSx7Im4iOiJVU0R1YWxVc2VFQVJDQ0wiLCJ2YWxzIjpbXX0seyJuIjoiVVNEdWFsVXNlRUFSOTkiLCJ2YWxzIjpbXX0seyJuIjoiVVNNaWxpdGFyeUVBUjYwMCIsInZhbHMiOltdfSx7Im4iOiJVU01pbGl0YXJ5SVRBUiIsInZhbHMiOltdfSx7Im4iOiJWaXN1YWxNYXJraW5nIiwidmFscyI6W3sidmFsdWUiOiJObyJ9XX1dfQ==</TitusMetadata>
</titus>
</file>

<file path=customXml/itemProps1.xml><?xml version="1.0" encoding="utf-8"?>
<ds:datastoreItem xmlns:ds="http://schemas.openxmlformats.org/officeDocument/2006/customXml" ds:itemID="{1D730F77-AFD6-4446-862F-2D5C344C987E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Customer</vt:lpstr>
      <vt:lpstr>Requirements</vt:lpstr>
      <vt:lpstr>References</vt:lpstr>
      <vt:lpstr>Quote</vt:lpstr>
      <vt:lpstr>Quote_Breakdown</vt:lpstr>
      <vt:lpstr>Quote!Print_Area</vt:lpstr>
      <vt:lpstr>Quote_Breakdown!Print_Area</vt:lpstr>
    </vt:vector>
  </TitlesOfParts>
  <Company>Rolls-Royce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Heath, Justin (Aiimi) (RDN)</dc:creator>
  <cp:keywords>No Classification</cp:keywords>
  <cp:lastModifiedBy>Heath, Justin (Aiimi) (RDN)</cp:lastModifiedBy>
  <cp:lastPrinted>2026-05-06T11:33:10Z</cp:lastPrinted>
  <dcterms:created xsi:type="dcterms:W3CDTF">2026-04-28T07:17:24Z</dcterms:created>
  <dcterms:modified xsi:type="dcterms:W3CDTF">2026-05-06T11:34:50Z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4174813f-e8b2-4b0f-8a14-c19154577716</vt:lpwstr>
  </property>
  <property fmtid="{D5CDD505-2E9C-101B-9397-08002B2CF9AE}" pid="3" name="RRTITUS">
    <vt:lpwstr>No Classification</vt:lpwstr>
  </property>
  <property fmtid="{D5CDD505-2E9C-101B-9397-08002B2CF9AE}" pid="4" name="RetentionDecision">
    <vt:lpwstr>No requirement to retain</vt:lpwstr>
  </property>
  <property fmtid="{D5CDD505-2E9C-101B-9397-08002B2CF9AE}" pid="5" name="ExportControl">
    <vt:lpwstr>No</vt:lpwstr>
  </property>
  <property fmtid="{D5CDD505-2E9C-101B-9397-08002B2CF9AE}" pid="6" name="VisualMarking">
    <vt:lpwstr>No</vt:lpwstr>
  </property>
</Properties>
</file>