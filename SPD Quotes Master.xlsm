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efaultThemeVersion="202300"/>
  <mc:AlternateContent xmlns:mc="http://schemas.openxmlformats.org/markup-compatibility/2006">
    <mc:Choice Requires="x15">
      <x15ac:absPath xmlns:x15ac="http://schemas.microsoft.com/office/spreadsheetml/2010/11/ac" url="\\gbzsrpr-fil01h\home\UAII039\"/>
    </mc:Choice>
  </mc:AlternateContent>
  <xr:revisionPtr revIDLastSave="0" documentId="13_ncr:1_{82D69730-2927-4B93-B9CF-3F5F5E0A5B12}" xr6:coauthVersionLast="47" xr6:coauthVersionMax="47" xr10:uidLastSave="{00000000-0000-0000-0000-000000000000}"/>
  <bookViews>
    <workbookView xWindow="-120" yWindow="150" windowWidth="29040" windowHeight="15570" activeTab="2" xr2:uid="{21043629-EBF2-4BD3-BB16-45E4250A8746}"/>
  </bookViews>
  <sheets>
    <sheet name="Customer" sheetId="3" r:id="rId1"/>
    <sheet name="Works" sheetId="1" r:id="rId2"/>
    <sheet name="Quote" sheetId="4" r:id="rId3"/>
    <sheet name="References" sheetId="2" r:id="rId4"/>
  </sheets>
  <definedNames>
    <definedName name="_xlnm._FilterDatabase" localSheetId="3" hidden="1">References!$E$1:$G$8</definedName>
    <definedName name="_xlnm.Print_Area" localSheetId="2">Quote!$B$2:$I$43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6" i="4" l="1"/>
  <c r="B40" i="4"/>
  <c r="B35" i="4"/>
  <c r="D35" i="4"/>
  <c r="D34" i="4"/>
  <c r="B34" i="4"/>
  <c r="L2" i="4"/>
  <c r="L3" i="4"/>
  <c r="D33" i="4"/>
  <c r="B33" i="4"/>
  <c r="D32" i="4"/>
  <c r="B32" i="4"/>
  <c r="E31" i="4"/>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9" i="1"/>
  <c r="B10" i="1" s="1"/>
  <c r="B11" i="1" s="1"/>
  <c r="B12" i="1" s="1"/>
  <c r="B13" i="1" s="1"/>
  <c r="B14" i="1" s="1"/>
  <c r="B7" i="1"/>
  <c r="B14" i="4"/>
  <c r="C10" i="4"/>
  <c r="C9" i="4"/>
  <c r="C8" i="4"/>
  <c r="E27" i="4"/>
  <c r="D27" i="4"/>
  <c r="C2" i="3"/>
  <c r="B2" i="1" s="1"/>
  <c r="B8" i="1"/>
  <c r="A11" i="2"/>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F13" i="1" s="1"/>
  <c r="P23" i="1"/>
  <c r="P22" i="1"/>
  <c r="P21" i="1"/>
  <c r="P20" i="1"/>
  <c r="P19" i="1"/>
  <c r="P18" i="1"/>
  <c r="P17" i="1"/>
  <c r="P16" i="1"/>
  <c r="P15" i="1"/>
  <c r="P14" i="1"/>
  <c r="P13" i="1"/>
  <c r="P12" i="1"/>
  <c r="F9" i="1" s="1"/>
  <c r="P11" i="1"/>
  <c r="P10" i="1"/>
  <c r="P9" i="1"/>
  <c r="P8" i="1"/>
  <c r="P7" i="1"/>
  <c r="F7" i="1" s="1"/>
  <c r="F46" i="1"/>
  <c r="E46" i="1"/>
  <c r="A3" i="2"/>
  <c r="A4" i="2" s="1"/>
  <c r="A5" i="2" s="1"/>
  <c r="A6" i="2" s="1"/>
  <c r="A7" i="2" s="1"/>
  <c r="A8" i="2" s="1"/>
  <c r="A9" i="2" s="1"/>
  <c r="A10" i="2" s="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1"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L5" i="4" l="1"/>
  <c r="E33" i="4" s="1"/>
  <c r="F8" i="1"/>
  <c r="F10" i="1"/>
  <c r="F12" i="1"/>
  <c r="C7" i="4"/>
  <c r="E4" i="1"/>
  <c r="B12" i="4" s="1"/>
  <c r="E32" i="4" l="1"/>
  <c r="E35" i="4"/>
  <c r="E34" i="4"/>
  <c r="E37" i="4"/>
  <c r="F4" i="1"/>
  <c r="E2" i="1" s="1"/>
  <c r="B13" i="4" s="1"/>
</calcChain>
</file>

<file path=xl/sharedStrings.xml><?xml version="1.0" encoding="utf-8"?>
<sst xmlns="http://schemas.openxmlformats.org/spreadsheetml/2006/main" count="269" uniqueCount="105">
  <si>
    <t>Work Item</t>
  </si>
  <si>
    <t>Days</t>
  </si>
  <si>
    <t>Material (£)</t>
  </si>
  <si>
    <t>Job</t>
  </si>
  <si>
    <t>Material</t>
  </si>
  <si>
    <t>(£)</t>
  </si>
  <si>
    <t>Footings</t>
  </si>
  <si>
    <t>Block work</t>
  </si>
  <si>
    <t>Window</t>
  </si>
  <si>
    <t>Roof</t>
  </si>
  <si>
    <t>Steals</t>
  </si>
  <si>
    <t>Lay floor</t>
  </si>
  <si>
    <t>∑ (£)</t>
  </si>
  <si>
    <t>Margin (%)</t>
  </si>
  <si>
    <t>Totals:</t>
  </si>
  <si>
    <t>Order</t>
  </si>
  <si>
    <t>Dig out</t>
  </si>
  <si>
    <t>poor</t>
  </si>
  <si>
    <t>cavity</t>
  </si>
  <si>
    <t>insulation</t>
  </si>
  <si>
    <t>brickwork</t>
  </si>
  <si>
    <t>sizing</t>
  </si>
  <si>
    <t>lintal</t>
  </si>
  <si>
    <t>install</t>
  </si>
  <si>
    <t>lay membrain</t>
  </si>
  <si>
    <t>sealing</t>
  </si>
  <si>
    <t>facias and guttering</t>
  </si>
  <si>
    <t>padding</t>
  </si>
  <si>
    <t>Wall removal</t>
  </si>
  <si>
    <t>Acroprops</t>
  </si>
  <si>
    <t>insert</t>
  </si>
  <si>
    <t>mix and poor concrete</t>
  </si>
  <si>
    <t>Plastering</t>
  </si>
  <si>
    <t>Dot and dab boards</t>
  </si>
  <si>
    <t>ceiling boards</t>
  </si>
  <si>
    <t>skim</t>
  </si>
  <si>
    <t>Builders</t>
  </si>
  <si>
    <t>concrete</t>
  </si>
  <si>
    <t>cinder blocks</t>
  </si>
  <si>
    <t>Kingspan</t>
  </si>
  <si>
    <t>Bricks</t>
  </si>
  <si>
    <t>lintals</t>
  </si>
  <si>
    <t>cement</t>
  </si>
  <si>
    <t>Timber</t>
  </si>
  <si>
    <t>beam work</t>
  </si>
  <si>
    <t>membrain</t>
  </si>
  <si>
    <t>steals</t>
  </si>
  <si>
    <t>Equipment hire</t>
  </si>
  <si>
    <t>Quote</t>
  </si>
  <si>
    <t>boards</t>
  </si>
  <si>
    <t>dot and dab</t>
  </si>
  <si>
    <t>plaster</t>
  </si>
  <si>
    <t>First Name</t>
  </si>
  <si>
    <t>Last Name</t>
  </si>
  <si>
    <t>Contact Tel:</t>
  </si>
  <si>
    <t>Contact email:</t>
  </si>
  <si>
    <t>City</t>
  </si>
  <si>
    <t>Postcode</t>
  </si>
  <si>
    <t>Justin</t>
  </si>
  <si>
    <t>Heath</t>
  </si>
  <si>
    <t>No. &amp; Street</t>
  </si>
  <si>
    <t>Town</t>
  </si>
  <si>
    <t>07941539609</t>
  </si>
  <si>
    <t>justdigs@outlook.com</t>
  </si>
  <si>
    <t>4 Warrendale Court</t>
  </si>
  <si>
    <t>Chellaston</t>
  </si>
  <si>
    <t>Derby</t>
  </si>
  <si>
    <t>DE73 6PW</t>
  </si>
  <si>
    <t>This is an area for you to write any comments  you wish to note about the customer i.e. pets name, children name, favourite holiday.  Or remarks you wish to make about the work  that is being quoted for</t>
  </si>
  <si>
    <t>SPD Builders</t>
  </si>
  <si>
    <t>spdbuilders@outlook.com</t>
  </si>
  <si>
    <t>07401 716294</t>
  </si>
  <si>
    <t>11 Jefferson Place</t>
  </si>
  <si>
    <t>Alvaston</t>
  </si>
  <si>
    <t>DE24 8PQ</t>
  </si>
  <si>
    <t>Quotation</t>
  </si>
  <si>
    <t>Ref</t>
  </si>
  <si>
    <t>Date</t>
  </si>
  <si>
    <t>Schedule of work</t>
  </si>
  <si>
    <t>Client</t>
  </si>
  <si>
    <t>Reference</t>
  </si>
  <si>
    <t>Tender</t>
  </si>
  <si>
    <t>%</t>
  </si>
  <si>
    <t>Personal Comments</t>
  </si>
  <si>
    <t>Client Comments</t>
  </si>
  <si>
    <t xml:space="preserve">I’m going to say upto a extra £1000 for building control fee and the rest just incase structural engineers want to change roof and steel size for what I’ve quoted for on previous jobs but if nothing changes then only building control fee is needed </t>
  </si>
  <si>
    <t>Contingency</t>
  </si>
  <si>
    <t>managed overflow of work</t>
  </si>
  <si>
    <t>Labourers</t>
  </si>
  <si>
    <t>Total</t>
  </si>
  <si>
    <t>Pay</t>
  </si>
  <si>
    <t>Yes</t>
  </si>
  <si>
    <t>Payment Schedule</t>
  </si>
  <si>
    <t>Works Complete</t>
  </si>
  <si>
    <t>Est Day</t>
  </si>
  <si>
    <t>Labour Cal</t>
  </si>
  <si>
    <t>day rate</t>
  </si>
  <si>
    <t>Notes</t>
  </si>
  <si>
    <t>30 Years of industry lead experience</t>
  </si>
  <si>
    <t>Price promise</t>
  </si>
  <si>
    <t>Proud to be a leader in ???</t>
  </si>
  <si>
    <t>Payments can be made to Sean Dawson, Lloyds Bank, 10-20-30 12345678</t>
  </si>
  <si>
    <t>All quotes are backed by my price promise, I will never ask for more than quoted!</t>
  </si>
  <si>
    <t>Breakdown of required work</t>
  </si>
  <si>
    <t>Please ensure everything is covered in these details, anything outside of these items will not be covered by the price promise and will require re quoting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</si>
</sst>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
    <numFmt numFmtId="165" formatCode="0.0%"/>
    <numFmt numFmtId="166" formatCode="0\ &quot;Days&quot;"/>
    <numFmt numFmtId="167" formatCode="&quot;£&quot;#,##0.00"/>
    <numFmt numFmtId="170" formatCode="&quot;Quote - &quot;\&amp;#"/>
    <numFmt numFmtId="177" formatCode="dd\ mmmm\ yyyy"/>
    <numFmt numFmtId="178" formatCode="00"/>
    <numFmt numFmtId="179" formatCode="0\ &quot; Weeks&quot;"/>
  </numFmts>
  <fonts count="17"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4"/>
      <color theme="0"/>
      <name val="Aptos Narrow"/>
      <family val="2"/>
      <scheme val="minor"/>
    </font>
    <font>
      <sz val="14"/>
      <color theme="1"/>
      <name val="Aptos Narrow"/>
      <family val="2"/>
      <scheme val="minor"/>
    </font>
    <font>
      <sz val="14"/>
      <color theme="5"/>
      <name val="Aptos Narrow"/>
      <family val="2"/>
      <scheme val="minor"/>
    </font>
    <font>
      <b/>
      <sz val="16"/>
      <color rgb="FF00B050"/>
      <name val="Aptos Narrow"/>
      <family val="2"/>
      <scheme val="minor"/>
    </font>
    <font>
      <b/>
      <sz val="16"/>
      <color theme="0"/>
      <name val="Aptos Narrow"/>
      <family val="2"/>
      <scheme val="minor"/>
    </font>
    <font>
      <u/>
      <sz val="11"/>
      <color theme="10"/>
      <name val="Aptos Narrow"/>
      <family val="2"/>
      <scheme val="minor"/>
    </font>
    <font>
      <u/>
      <sz val="14"/>
      <color theme="10"/>
      <name val="Aptos Narrow"/>
      <family val="2"/>
      <scheme val="minor"/>
    </font>
    <font>
      <b/>
      <sz val="18"/>
      <color theme="1"/>
      <name val="Aptos Narrow"/>
      <family val="2"/>
      <scheme val="minor"/>
    </font>
    <font>
      <sz val="11"/>
      <color rgb="FF002060"/>
      <name val="Aptos Narrow"/>
      <family val="2"/>
      <scheme val="minor"/>
    </font>
    <font>
      <i/>
      <sz val="11"/>
      <color rgb="FF002060"/>
      <name val="Aptos Narrow"/>
      <family val="2"/>
      <scheme val="minor"/>
    </font>
    <font>
      <b/>
      <sz val="11"/>
      <color rgb="FF002060"/>
      <name val="Aptos Narrow"/>
      <family val="2"/>
      <scheme val="minor"/>
    </font>
    <font>
      <i/>
      <sz val="10"/>
      <color theme="1"/>
      <name val="Aptos Narrow"/>
      <family val="2"/>
      <scheme val="minor"/>
    </font>
    <font>
      <i/>
      <sz val="12"/>
      <color rgb="FFFF0000"/>
      <name val="Aptos Narrow"/>
      <family val="2"/>
      <scheme val="minor"/>
    </font>
  </fonts>
  <fills count="16">
    <fill>
      <patternFill patternType="none"/>
    </fill>
    <fill>
      <patternFill patternType="gray125"/>
    </fill>
    <fill>
      <patternFill patternType="solid">
        <fgColor rgb="FF0070C0"/>
        <bgColor indexed="64"/>
      </patternFill>
    </fill>
    <fill>
      <patternFill patternType="solid">
        <fgColor theme="3" tint="0.749992370372631"/>
        <bgColor indexed="64"/>
      </patternFill>
    </fill>
    <fill>
      <patternFill patternType="solid">
        <fgColor rgb="FF7030A0"/>
        <bgColor indexed="64"/>
      </patternFill>
    </fill>
    <fill>
      <patternFill patternType="solid">
        <fgColor theme="8" tint="0.79998168889431442"/>
        <bgColor indexed="64"/>
      </patternFill>
    </fill>
    <fill>
      <patternFill patternType="solid">
        <fgColor theme="3" tint="0.89999084444715716"/>
        <bgColor indexed="64"/>
      </patternFill>
    </fill>
    <fill>
      <patternFill patternType="solid">
        <fgColor rgb="FF00B0F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92D050"/>
        <bgColor indexed="64"/>
      </patternFill>
    </fill>
    <fill>
      <patternFill patternType="solid">
        <fgColor theme="9" tint="0.79998168889431442"/>
        <bgColor indexed="64"/>
      </patternFill>
    </fill>
    <fill>
      <patternFill patternType="solid">
        <fgColor rgb="FFFFFF00"/>
        <bgColor indexed="64"/>
      </patternFill>
    </fill>
    <fill>
      <patternFill patternType="solid">
        <fgColor theme="1"/>
        <bgColor indexed="64"/>
      </patternFill>
    </fill>
    <fill>
      <patternFill patternType="solid">
        <fgColor rgb="FF002060"/>
        <bgColor indexed="64"/>
      </patternFill>
    </fill>
    <fill>
      <patternFill patternType="solid">
        <fgColor theme="0" tint="-0.14996795556505021"/>
        <bgColor indexed="64"/>
      </patternFill>
    </fill>
  </fills>
  <borders count="38">
    <border>
      <left/>
      <right/>
      <top/>
      <bottom/>
      <diagonal/>
    </border>
    <border>
      <left style="medium">
        <color rgb="FF0070C0"/>
      </left>
      <right style="medium">
        <color rgb="FF0070C0"/>
      </right>
      <top style="medium">
        <color rgb="FF0070C0"/>
      </top>
      <bottom style="medium">
        <color rgb="FF0070C0"/>
      </bottom>
      <diagonal/>
    </border>
    <border>
      <left style="medium">
        <color rgb="FF0070C0"/>
      </left>
      <right style="medium">
        <color rgb="FF0070C0"/>
      </right>
      <top style="medium">
        <color rgb="FF0070C0"/>
      </top>
      <bottom style="thin">
        <color rgb="FF0070C0"/>
      </bottom>
      <diagonal/>
    </border>
    <border>
      <left style="medium">
        <color rgb="FF0070C0"/>
      </left>
      <right style="medium">
        <color rgb="FF0070C0"/>
      </right>
      <top style="thin">
        <color rgb="FF0070C0"/>
      </top>
      <bottom style="thin">
        <color rgb="FF0070C0"/>
      </bottom>
      <diagonal/>
    </border>
    <border>
      <left style="medium">
        <color rgb="FF0070C0"/>
      </left>
      <right style="medium">
        <color rgb="FF0070C0"/>
      </right>
      <top style="thin">
        <color rgb="FF0070C0"/>
      </top>
      <bottom style="medium">
        <color rgb="FF0070C0"/>
      </bottom>
      <diagonal/>
    </border>
    <border>
      <left style="medium">
        <color rgb="FF7030A0"/>
      </left>
      <right style="medium">
        <color rgb="FF7030A0"/>
      </right>
      <top style="medium">
        <color rgb="FF7030A0"/>
      </top>
      <bottom style="thin">
        <color rgb="FF7030A0"/>
      </bottom>
      <diagonal/>
    </border>
    <border>
      <left style="medium">
        <color rgb="FF7030A0"/>
      </left>
      <right style="medium">
        <color rgb="FF7030A0"/>
      </right>
      <top style="thin">
        <color rgb="FF7030A0"/>
      </top>
      <bottom style="thin">
        <color rgb="FF7030A0"/>
      </bottom>
      <diagonal/>
    </border>
    <border>
      <left style="medium">
        <color rgb="FF7030A0"/>
      </left>
      <right style="medium">
        <color rgb="FF7030A0"/>
      </right>
      <top style="thin">
        <color rgb="FF7030A0"/>
      </top>
      <bottom style="medium">
        <color rgb="FF7030A0"/>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medium">
        <color rgb="FF0070C0"/>
      </left>
      <right style="medium">
        <color rgb="FF0070C0"/>
      </right>
      <top style="thin">
        <color rgb="FF0070C0"/>
      </top>
      <bottom/>
      <diagonal/>
    </border>
    <border>
      <left style="medium">
        <color theme="5"/>
      </left>
      <right style="medium">
        <color theme="5"/>
      </right>
      <top style="medium">
        <color theme="5"/>
      </top>
      <bottom style="medium">
        <color theme="5"/>
      </bottom>
      <diagonal/>
    </border>
    <border>
      <left style="medium">
        <color rgb="FF00B050"/>
      </left>
      <right style="medium">
        <color rgb="FF00B050"/>
      </right>
      <top style="medium">
        <color rgb="FF00B050"/>
      </top>
      <bottom style="medium">
        <color rgb="FF00B050"/>
      </bottom>
      <diagonal/>
    </border>
    <border>
      <left style="thin">
        <color auto="1"/>
      </left>
      <right style="thin">
        <color auto="1"/>
      </right>
      <top style="thin">
        <color auto="1"/>
      </top>
      <bottom style="thin">
        <color auto="1"/>
      </bottom>
      <diagonal/>
    </border>
    <border>
      <left style="medium">
        <color rgb="FF002060"/>
      </left>
      <right style="medium">
        <color rgb="FF002060"/>
      </right>
      <top style="medium">
        <color rgb="FF002060"/>
      </top>
      <bottom style="thin">
        <color rgb="FF002060"/>
      </bottom>
      <diagonal/>
    </border>
    <border>
      <left style="medium">
        <color rgb="FF002060"/>
      </left>
      <right style="medium">
        <color rgb="FF002060"/>
      </right>
      <top style="thin">
        <color rgb="FF002060"/>
      </top>
      <bottom style="thin">
        <color rgb="FF002060"/>
      </bottom>
      <diagonal/>
    </border>
    <border>
      <left style="medium">
        <color rgb="FF002060"/>
      </left>
      <right style="medium">
        <color rgb="FF002060"/>
      </right>
      <top style="thin">
        <color rgb="FF002060"/>
      </top>
      <bottom style="medium">
        <color rgb="FF002060"/>
      </bottom>
      <diagonal/>
    </border>
    <border>
      <left/>
      <right/>
      <top style="thin">
        <color rgb="FF002060"/>
      </top>
      <bottom style="double">
        <color rgb="FF002060"/>
      </bottom>
      <diagonal/>
    </border>
    <border>
      <left style="thin">
        <color rgb="FF002060"/>
      </left>
      <right/>
      <top style="thin">
        <color rgb="FF002060"/>
      </top>
      <bottom/>
      <diagonal/>
    </border>
    <border>
      <left/>
      <right/>
      <top style="thin">
        <color rgb="FF002060"/>
      </top>
      <bottom/>
      <diagonal/>
    </border>
    <border>
      <left/>
      <right style="thin">
        <color rgb="FF002060"/>
      </right>
      <top style="thin">
        <color rgb="FF002060"/>
      </top>
      <bottom/>
      <diagonal/>
    </border>
    <border>
      <left style="thin">
        <color rgb="FF002060"/>
      </left>
      <right/>
      <top/>
      <bottom style="thin">
        <color rgb="FF002060"/>
      </bottom>
      <diagonal/>
    </border>
    <border>
      <left/>
      <right/>
      <top/>
      <bottom style="thin">
        <color rgb="FF002060"/>
      </bottom>
      <diagonal/>
    </border>
    <border>
      <left/>
      <right style="thin">
        <color rgb="FF002060"/>
      </right>
      <top/>
      <bottom style="thin">
        <color rgb="FF002060"/>
      </bottom>
      <diagonal/>
    </border>
    <border>
      <left style="medium">
        <color rgb="FF002060"/>
      </left>
      <right/>
      <top style="medium">
        <color rgb="FF002060"/>
      </top>
      <bottom style="thin">
        <color rgb="FF002060"/>
      </bottom>
      <diagonal/>
    </border>
    <border>
      <left/>
      <right style="medium">
        <color rgb="FF002060"/>
      </right>
      <top style="medium">
        <color rgb="FF002060"/>
      </top>
      <bottom style="thin">
        <color rgb="FF002060"/>
      </bottom>
      <diagonal/>
    </border>
    <border>
      <left style="medium">
        <color rgb="FF002060"/>
      </left>
      <right/>
      <top style="thin">
        <color rgb="FF002060"/>
      </top>
      <bottom style="thin">
        <color rgb="FF002060"/>
      </bottom>
      <diagonal/>
    </border>
    <border>
      <left/>
      <right style="medium">
        <color rgb="FF002060"/>
      </right>
      <top style="thin">
        <color rgb="FF002060"/>
      </top>
      <bottom style="thin">
        <color rgb="FF002060"/>
      </bottom>
      <diagonal/>
    </border>
    <border>
      <left style="medium">
        <color rgb="FF002060"/>
      </left>
      <right/>
      <top style="medium">
        <color rgb="FF002060"/>
      </top>
      <bottom/>
      <diagonal/>
    </border>
    <border>
      <left/>
      <right style="medium">
        <color rgb="FF002060"/>
      </right>
      <top style="medium">
        <color rgb="FF002060"/>
      </top>
      <bottom/>
      <diagonal/>
    </border>
    <border>
      <left style="medium">
        <color rgb="FF002060"/>
      </left>
      <right style="medium">
        <color rgb="FF002060"/>
      </right>
      <top style="medium">
        <color rgb="FF002060"/>
      </top>
      <bottom/>
      <diagonal/>
    </border>
    <border>
      <left style="medium">
        <color rgb="FF002060"/>
      </left>
      <right/>
      <top style="thin">
        <color rgb="FF002060"/>
      </top>
      <bottom style="medium">
        <color rgb="FF002060"/>
      </bottom>
      <diagonal/>
    </border>
    <border>
      <left/>
      <right style="medium">
        <color rgb="FF002060"/>
      </right>
      <top style="thin">
        <color rgb="FF002060"/>
      </top>
      <bottom style="medium">
        <color rgb="FF002060"/>
      </bottom>
      <diagonal/>
    </border>
    <border>
      <left/>
      <right/>
      <top/>
      <bottom style="medium">
        <color rgb="FF002060"/>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s>
  <cellStyleXfs count="2">
    <xf numFmtId="0" fontId="0" fillId="0" borderId="0"/>
    <xf numFmtId="0" fontId="9" fillId="0" borderId="0" applyNumberFormat="0" applyFill="0" applyBorder="0" applyAlignment="0" applyProtection="0"/>
  </cellStyleXfs>
  <cellXfs count="116">
    <xf numFmtId="0" fontId="0" fillId="0" borderId="0" xfId="0"/>
    <xf numFmtId="0" fontId="0" fillId="0" borderId="0" xfId="0" applyAlignment="1">
      <alignment horizontal="center"/>
    </xf>
    <xf numFmtId="0" fontId="1" fillId="2" borderId="1" xfId="0" applyFont="1" applyFill="1" applyBorder="1" applyAlignment="1">
      <alignment horizontal="center"/>
    </xf>
    <xf numFmtId="0" fontId="0" fillId="0" borderId="3" xfId="0" applyBorder="1"/>
    <xf numFmtId="0" fontId="0" fillId="0" borderId="4" xfId="0" applyBorder="1"/>
    <xf numFmtId="164" fontId="1" fillId="2" borderId="1" xfId="0" applyNumberFormat="1" applyFont="1" applyFill="1" applyBorder="1" applyAlignment="1">
      <alignment horizontal="center"/>
    </xf>
    <xf numFmtId="164" fontId="0" fillId="0" borderId="0" xfId="0" applyNumberFormat="1"/>
    <xf numFmtId="0" fontId="1" fillId="4" borderId="1" xfId="0" applyFont="1" applyFill="1" applyBorder="1" applyAlignment="1">
      <alignment horizontal="center"/>
    </xf>
    <xf numFmtId="0" fontId="1" fillId="4" borderId="5" xfId="0" applyFont="1"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164" fontId="0" fillId="3" borderId="2" xfId="0" applyNumberFormat="1" applyFill="1" applyBorder="1"/>
    <xf numFmtId="164" fontId="0" fillId="3" borderId="3" xfId="0" applyNumberFormat="1" applyFill="1" applyBorder="1"/>
    <xf numFmtId="164" fontId="0" fillId="3" borderId="4" xfId="0" applyNumberFormat="1" applyFill="1" applyBorder="1"/>
    <xf numFmtId="0" fontId="0" fillId="0" borderId="6" xfId="0" applyBorder="1" applyProtection="1">
      <protection locked="0"/>
    </xf>
    <xf numFmtId="0" fontId="0" fillId="0" borderId="7"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4" xfId="0" applyBorder="1" applyProtection="1">
      <protection locked="0"/>
    </xf>
    <xf numFmtId="164" fontId="0" fillId="6" borderId="2" xfId="0" applyNumberFormat="1" applyFill="1" applyBorder="1" applyProtection="1">
      <protection locked="0"/>
    </xf>
    <xf numFmtId="164" fontId="0" fillId="6" borderId="3" xfId="0" applyNumberFormat="1" applyFill="1" applyBorder="1" applyProtection="1">
      <protection locked="0"/>
    </xf>
    <xf numFmtId="164" fontId="0" fillId="6" borderId="4" xfId="0" applyNumberFormat="1" applyFill="1" applyBorder="1" applyProtection="1">
      <protection locked="0"/>
    </xf>
    <xf numFmtId="165" fontId="0" fillId="0" borderId="0" xfId="0" applyNumberFormat="1"/>
    <xf numFmtId="165" fontId="1" fillId="2" borderId="1" xfId="0" applyNumberFormat="1" applyFont="1" applyFill="1" applyBorder="1" applyAlignment="1">
      <alignment horizontal="center"/>
    </xf>
    <xf numFmtId="165" fontId="0" fillId="0" borderId="2" xfId="0" applyNumberFormat="1" applyBorder="1" applyProtection="1">
      <protection locked="0"/>
    </xf>
    <xf numFmtId="165" fontId="0" fillId="0" borderId="3" xfId="0" applyNumberFormat="1" applyBorder="1" applyProtection="1">
      <protection locked="0"/>
    </xf>
    <xf numFmtId="165" fontId="0" fillId="0" borderId="4" xfId="0" applyNumberFormat="1" applyBorder="1" applyProtection="1">
      <protection locked="0"/>
    </xf>
    <xf numFmtId="0" fontId="0" fillId="0" borderId="0" xfId="0" applyAlignment="1">
      <alignment horizontal="right"/>
    </xf>
    <xf numFmtId="0" fontId="5" fillId="0" borderId="0" xfId="0" applyFont="1"/>
    <xf numFmtId="0" fontId="5" fillId="0" borderId="0" xfId="0" applyFont="1" applyAlignment="1">
      <alignment vertical="center"/>
    </xf>
    <xf numFmtId="164" fontId="5" fillId="0" borderId="0" xfId="0" applyNumberFormat="1" applyFont="1" applyAlignment="1">
      <alignment vertical="center"/>
    </xf>
    <xf numFmtId="165" fontId="5" fillId="0" borderId="0" xfId="0" applyNumberFormat="1" applyFont="1" applyAlignment="1">
      <alignment vertical="center"/>
    </xf>
    <xf numFmtId="0" fontId="4" fillId="7" borderId="1" xfId="0" applyFont="1" applyFill="1" applyBorder="1" applyAlignment="1">
      <alignment horizontal="right" vertical="center"/>
    </xf>
    <xf numFmtId="166" fontId="4" fillId="7" borderId="1" xfId="0" applyNumberFormat="1" applyFont="1" applyFill="1" applyBorder="1" applyAlignment="1">
      <alignment horizontal="right" vertical="center"/>
    </xf>
    <xf numFmtId="164" fontId="4" fillId="7" borderId="1" xfId="0" applyNumberFormat="1" applyFont="1" applyFill="1" applyBorder="1" applyAlignment="1">
      <alignment vertical="center"/>
    </xf>
    <xf numFmtId="0" fontId="4" fillId="7" borderId="1" xfId="0" applyFont="1" applyFill="1" applyBorder="1" applyAlignment="1">
      <alignment horizontal="right" vertical="center"/>
    </xf>
    <xf numFmtId="0" fontId="0" fillId="0" borderId="11" xfId="0" applyBorder="1"/>
    <xf numFmtId="0" fontId="0" fillId="0" borderId="11" xfId="0" applyBorder="1" applyProtection="1">
      <protection locked="0"/>
    </xf>
    <xf numFmtId="0" fontId="0" fillId="5" borderId="11" xfId="0" applyFill="1" applyBorder="1" applyAlignment="1">
      <alignment horizontal="center"/>
    </xf>
    <xf numFmtId="164" fontId="0" fillId="3" borderId="11" xfId="0" applyNumberFormat="1" applyFill="1" applyBorder="1"/>
    <xf numFmtId="0" fontId="0" fillId="5" borderId="6" xfId="0" applyFill="1" applyBorder="1" applyAlignment="1" applyProtection="1">
      <alignment horizontal="center"/>
      <protection locked="0"/>
    </xf>
    <xf numFmtId="0" fontId="0" fillId="5" borderId="7" xfId="0" applyFill="1" applyBorder="1" applyAlignment="1" applyProtection="1">
      <alignment horizontal="center"/>
      <protection locked="0"/>
    </xf>
    <xf numFmtId="0" fontId="4" fillId="9" borderId="12" xfId="0" applyFont="1" applyFill="1" applyBorder="1" applyAlignment="1">
      <alignment vertical="center"/>
    </xf>
    <xf numFmtId="164" fontId="6" fillId="8" borderId="12" xfId="0" applyNumberFormat="1" applyFont="1" applyFill="1" applyBorder="1" applyAlignment="1">
      <alignment vertical="center"/>
    </xf>
    <xf numFmtId="0" fontId="6" fillId="8" borderId="12" xfId="0" applyFont="1" applyFill="1" applyBorder="1" applyAlignment="1">
      <alignment horizontal="center" vertical="center"/>
    </xf>
    <xf numFmtId="167" fontId="7" fillId="11" borderId="13" xfId="0" applyNumberFormat="1" applyFont="1" applyFill="1" applyBorder="1" applyAlignment="1">
      <alignment horizontal="center" vertical="center"/>
    </xf>
    <xf numFmtId="0" fontId="7" fillId="11" borderId="13" xfId="0" applyFont="1" applyFill="1" applyBorder="1" applyAlignment="1">
      <alignment horizontal="center" vertical="center"/>
    </xf>
    <xf numFmtId="0" fontId="8" fillId="10" borderId="13" xfId="0" applyFont="1" applyFill="1" applyBorder="1" applyAlignment="1">
      <alignment horizontal="center" vertical="center"/>
    </xf>
    <xf numFmtId="0" fontId="7" fillId="11" borderId="13" xfId="0" applyFont="1" applyFill="1" applyBorder="1" applyAlignment="1">
      <alignment horizontal="center"/>
    </xf>
    <xf numFmtId="0" fontId="4" fillId="2" borderId="1" xfId="0" applyFont="1" applyFill="1" applyBorder="1" applyAlignment="1">
      <alignment vertical="center"/>
    </xf>
    <xf numFmtId="170" fontId="8" fillId="10" borderId="13" xfId="0" applyNumberFormat="1" applyFont="1" applyFill="1" applyBorder="1" applyAlignment="1">
      <alignment horizontal="center" vertical="center"/>
    </xf>
    <xf numFmtId="0" fontId="5" fillId="6" borderId="1" xfId="0" applyFont="1" applyFill="1" applyBorder="1" applyAlignment="1" applyProtection="1">
      <alignment vertical="center"/>
      <protection locked="0"/>
    </xf>
    <xf numFmtId="49" fontId="5" fillId="6" borderId="1" xfId="0" applyNumberFormat="1" applyFont="1" applyFill="1" applyBorder="1" applyAlignment="1" applyProtection="1">
      <alignment vertical="center"/>
      <protection locked="0"/>
    </xf>
    <xf numFmtId="0" fontId="10" fillId="6" borderId="1" xfId="1" applyFont="1" applyFill="1" applyBorder="1" applyAlignment="1" applyProtection="1">
      <alignment vertical="center"/>
      <protection locked="0"/>
    </xf>
    <xf numFmtId="0" fontId="5" fillId="12" borderId="8" xfId="0" applyFont="1" applyFill="1" applyBorder="1" applyAlignment="1" applyProtection="1">
      <alignment horizontal="left" vertical="top" wrapText="1"/>
      <protection locked="0"/>
    </xf>
    <xf numFmtId="0" fontId="5" fillId="12" borderId="9" xfId="0" applyFont="1" applyFill="1" applyBorder="1" applyAlignment="1" applyProtection="1">
      <alignment horizontal="left" vertical="top" wrapText="1"/>
      <protection locked="0"/>
    </xf>
    <xf numFmtId="0" fontId="5" fillId="12" borderId="10" xfId="0" applyFont="1" applyFill="1" applyBorder="1" applyAlignment="1" applyProtection="1">
      <alignment horizontal="left" vertical="top" wrapText="1"/>
      <protection locked="0"/>
    </xf>
    <xf numFmtId="0" fontId="2" fillId="0" borderId="0" xfId="0" applyFont="1"/>
    <xf numFmtId="0" fontId="2" fillId="0" borderId="0" xfId="0" applyFont="1" applyAlignment="1">
      <alignment horizontal="right"/>
    </xf>
    <xf numFmtId="0" fontId="9" fillId="0" borderId="0" xfId="1" applyAlignment="1">
      <alignment horizontal="right"/>
    </xf>
    <xf numFmtId="178" fontId="7" fillId="11" borderId="13" xfId="0" applyNumberFormat="1" applyFont="1" applyFill="1" applyBorder="1" applyAlignment="1" applyProtection="1">
      <alignment horizontal="center"/>
      <protection locked="0"/>
    </xf>
    <xf numFmtId="0" fontId="3" fillId="13" borderId="0" xfId="0" applyFont="1" applyFill="1"/>
    <xf numFmtId="0" fontId="1" fillId="13" borderId="0" xfId="0" applyFont="1" applyFill="1" applyAlignment="1">
      <alignment horizontal="center"/>
    </xf>
    <xf numFmtId="0" fontId="1" fillId="2" borderId="14" xfId="0" applyFont="1" applyFill="1" applyBorder="1" applyAlignment="1">
      <alignment horizontal="center"/>
    </xf>
    <xf numFmtId="0" fontId="0" fillId="0" borderId="14" xfId="0" applyBorder="1" applyProtection="1">
      <protection locked="0"/>
    </xf>
    <xf numFmtId="0" fontId="0" fillId="0" borderId="0" xfId="0" applyBorder="1"/>
    <xf numFmtId="0" fontId="0" fillId="0" borderId="16" xfId="0" applyBorder="1"/>
    <xf numFmtId="164" fontId="0" fillId="0" borderId="16" xfId="0" applyNumberFormat="1" applyBorder="1"/>
    <xf numFmtId="0" fontId="0" fillId="0" borderId="17" xfId="0" applyBorder="1"/>
    <xf numFmtId="164" fontId="0" fillId="0" borderId="17" xfId="0" applyNumberFormat="1" applyBorder="1"/>
    <xf numFmtId="0" fontId="2" fillId="0" borderId="18" xfId="0" applyFont="1" applyBorder="1"/>
    <xf numFmtId="164" fontId="2" fillId="0" borderId="18" xfId="0" applyNumberFormat="1" applyFont="1" applyBorder="1"/>
    <xf numFmtId="179" fontId="11" fillId="15" borderId="19" xfId="0" applyNumberFormat="1" applyFont="1" applyFill="1" applyBorder="1" applyAlignment="1">
      <alignment horizontal="center"/>
    </xf>
    <xf numFmtId="179" fontId="11" fillId="15" borderId="20" xfId="0" applyNumberFormat="1" applyFont="1" applyFill="1" applyBorder="1" applyAlignment="1">
      <alignment horizontal="center"/>
    </xf>
    <xf numFmtId="179" fontId="11" fillId="15" borderId="21" xfId="0" applyNumberFormat="1" applyFont="1" applyFill="1" applyBorder="1" applyAlignment="1">
      <alignment horizontal="center"/>
    </xf>
    <xf numFmtId="164" fontId="11" fillId="15" borderId="22" xfId="0" applyNumberFormat="1" applyFont="1" applyFill="1" applyBorder="1" applyAlignment="1">
      <alignment horizontal="center"/>
    </xf>
    <xf numFmtId="164" fontId="11" fillId="15" borderId="23" xfId="0" applyNumberFormat="1" applyFont="1" applyFill="1" applyBorder="1" applyAlignment="1">
      <alignment horizontal="center"/>
    </xf>
    <xf numFmtId="164" fontId="11" fillId="15" borderId="24" xfId="0" applyNumberFormat="1" applyFont="1" applyFill="1" applyBorder="1" applyAlignment="1">
      <alignment horizontal="center"/>
    </xf>
    <xf numFmtId="0" fontId="0" fillId="0" borderId="27" xfId="0" applyBorder="1" applyAlignment="1">
      <alignment horizontal="left"/>
    </xf>
    <xf numFmtId="0" fontId="0" fillId="0" borderId="28" xfId="0" applyBorder="1" applyAlignment="1">
      <alignment horizontal="left"/>
    </xf>
    <xf numFmtId="0" fontId="0" fillId="0" borderId="0" xfId="0" applyFont="1"/>
    <xf numFmtId="0" fontId="3" fillId="14" borderId="29" xfId="0" applyFont="1" applyFill="1" applyBorder="1" applyAlignment="1">
      <alignment horizontal="center"/>
    </xf>
    <xf numFmtId="0" fontId="3" fillId="14" borderId="30" xfId="0" applyFont="1" applyFill="1" applyBorder="1" applyAlignment="1">
      <alignment horizontal="center"/>
    </xf>
    <xf numFmtId="0" fontId="0" fillId="0" borderId="25" xfId="0" applyBorder="1" applyAlignment="1">
      <alignment horizontal="left"/>
    </xf>
    <xf numFmtId="0" fontId="0" fillId="0" borderId="26" xfId="0" applyBorder="1" applyAlignment="1">
      <alignment horizontal="left"/>
    </xf>
    <xf numFmtId="0" fontId="0" fillId="0" borderId="15" xfId="0" applyBorder="1"/>
    <xf numFmtId="164" fontId="0" fillId="0" borderId="15" xfId="0" applyNumberFormat="1" applyBorder="1"/>
    <xf numFmtId="0" fontId="0" fillId="0" borderId="32" xfId="0" applyBorder="1" applyAlignment="1">
      <alignment horizontal="left"/>
    </xf>
    <xf numFmtId="0" fontId="0" fillId="0" borderId="33" xfId="0" applyBorder="1" applyAlignment="1">
      <alignment horizontal="left"/>
    </xf>
    <xf numFmtId="0" fontId="14" fillId="0" borderId="0" xfId="0" applyFont="1"/>
    <xf numFmtId="0" fontId="11" fillId="0" borderId="0" xfId="0" applyFont="1" applyAlignment="1">
      <alignment vertical="center"/>
    </xf>
    <xf numFmtId="0" fontId="11" fillId="0" borderId="23" xfId="0" applyFont="1" applyBorder="1" applyAlignment="1">
      <alignment horizontal="center" vertical="center"/>
    </xf>
    <xf numFmtId="177" fontId="0" fillId="0" borderId="0" xfId="0" applyNumberFormat="1" applyAlignment="1">
      <alignment horizontal="left"/>
    </xf>
    <xf numFmtId="0" fontId="3" fillId="14" borderId="31" xfId="0" applyFont="1" applyFill="1" applyBorder="1" applyAlignment="1">
      <alignment horizontal="center"/>
    </xf>
    <xf numFmtId="164" fontId="3" fillId="14" borderId="31" xfId="0" applyNumberFormat="1" applyFont="1" applyFill="1" applyBorder="1" applyAlignment="1">
      <alignment horizontal="center"/>
    </xf>
    <xf numFmtId="0" fontId="11" fillId="0" borderId="34" xfId="0" applyFont="1" applyBorder="1" applyAlignment="1">
      <alignment horizontal="center" vertical="center"/>
    </xf>
    <xf numFmtId="0" fontId="13" fillId="0" borderId="0" xfId="0" applyFont="1" applyBorder="1" applyAlignment="1"/>
    <xf numFmtId="0" fontId="13" fillId="0" borderId="20" xfId="0" applyFont="1" applyBorder="1" applyAlignment="1">
      <alignment horizontal="center"/>
    </xf>
    <xf numFmtId="170" fontId="8" fillId="10" borderId="13" xfId="0" applyNumberFormat="1" applyFont="1" applyFill="1" applyBorder="1" applyAlignment="1">
      <alignment horizontal="center" vertical="center"/>
    </xf>
    <xf numFmtId="0" fontId="0" fillId="0" borderId="15"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35" xfId="0" applyBorder="1" applyAlignment="1">
      <alignment horizontal="center" vertical="top" wrapText="1"/>
    </xf>
    <xf numFmtId="0" fontId="0" fillId="0" borderId="36" xfId="0" applyBorder="1" applyAlignment="1">
      <alignment horizontal="center" vertical="top" wrapText="1"/>
    </xf>
    <xf numFmtId="0" fontId="0" fillId="0" borderId="37" xfId="0" applyBorder="1" applyAlignment="1">
      <alignment horizontal="center" vertical="top" wrapText="1"/>
    </xf>
    <xf numFmtId="0" fontId="0" fillId="0" borderId="0" xfId="0" applyBorder="1" applyAlignment="1">
      <alignment horizontal="center" vertical="top" wrapText="1"/>
    </xf>
    <xf numFmtId="0" fontId="12"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xf numFmtId="0" fontId="16" fillId="0" borderId="0" xfId="0" applyFont="1" applyBorder="1" applyAlignment="1">
      <alignment horizontal="center" vertical="top" wrapText="1"/>
    </xf>
    <xf numFmtId="0" fontId="3" fillId="14" borderId="29" xfId="0" applyFont="1" applyFill="1" applyBorder="1" applyAlignment="1">
      <alignment horizontal="center"/>
    </xf>
    <xf numFmtId="0" fontId="3" fillId="14" borderId="30" xfId="0" applyFont="1" applyFill="1" applyBorder="1" applyAlignment="1">
      <alignment horizontal="center"/>
    </xf>
    <xf numFmtId="0" fontId="0" fillId="0" borderId="18" xfId="0" applyBorder="1"/>
    <xf numFmtId="0" fontId="0" fillId="0" borderId="15" xfId="0" applyBorder="1" applyAlignment="1"/>
    <xf numFmtId="0" fontId="0" fillId="0" borderId="16" xfId="0" applyBorder="1" applyAlignme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19051</xdr:colOff>
      <xdr:row>1</xdr:row>
      <xdr:rowOff>76200</xdr:rowOff>
    </xdr:from>
    <xdr:to>
      <xdr:col>2</xdr:col>
      <xdr:colOff>85725</xdr:colOff>
      <xdr:row>4</xdr:row>
      <xdr:rowOff>161925</xdr:rowOff>
    </xdr:to>
    <xdr:pic>
      <xdr:nvPicPr>
        <xdr:cNvPr id="2" name="Picture 1">
          <a:extLst>
            <a:ext uri="{FF2B5EF4-FFF2-40B4-BE49-F238E27FC236}">
              <a16:creationId xmlns:a16="http://schemas.microsoft.com/office/drawing/2014/main" id="{19E11B0C-D5DD-078A-6583-D88E19BF1107}"/>
            </a:ext>
          </a:extLst>
        </xdr:cNvPr>
        <xdr:cNvPicPr/>
      </xdr:nvPicPr>
      <xdr:blipFill>
        <a:blip xmlns:r="http://schemas.openxmlformats.org/officeDocument/2006/relationships" r:embed="rId1"/>
        <a:stretch>
          <a:fillRect/>
        </a:stretch>
      </xdr:blipFill>
      <xdr:spPr>
        <a:xfrm>
          <a:off x="200026" y="276225"/>
          <a:ext cx="790574" cy="79057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justdigs@outlook.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mailto:spdbuilders@outlook.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A8321-8C72-40A5-BD03-B6DAAC9D2614}">
  <sheetPr>
    <tabColor rgb="FF92D050"/>
  </sheetPr>
  <dimension ref="B1:F16"/>
  <sheetViews>
    <sheetView showGridLines="0" workbookViewId="0">
      <selection activeCell="B13" sqref="B13:F13"/>
    </sheetView>
  </sheetViews>
  <sheetFormatPr defaultRowHeight="15" x14ac:dyDescent="0.25"/>
  <cols>
    <col min="1" max="1" width="1.7109375" customWidth="1"/>
    <col min="2" max="2" width="19.5703125" customWidth="1"/>
    <col min="3" max="3" width="40.7109375" customWidth="1"/>
    <col min="4" max="4" width="4.140625" customWidth="1"/>
    <col min="5" max="5" width="19.5703125" customWidth="1"/>
    <col min="6" max="6" width="40.7109375" customWidth="1"/>
  </cols>
  <sheetData>
    <row r="1" spans="2:6" ht="5.0999999999999996" customHeight="1" thickBot="1" x14ac:dyDescent="0.3"/>
    <row r="2" spans="2:6" ht="24.95" customHeight="1" thickBot="1" x14ac:dyDescent="0.4">
      <c r="B2" s="48" t="s">
        <v>48</v>
      </c>
      <c r="C2" s="49" t="str">
        <f ca="1">IF(F4="","",LEFT(C4,1)&amp;LEFT(F4,1))&amp;"-"&amp;TEXT(TODAY(),"yyyymmdd")&amp;"-"&amp;TEXT(F2,"00")</f>
        <v>JH-20260428-01</v>
      </c>
      <c r="E2" s="48" t="s">
        <v>81</v>
      </c>
      <c r="F2" s="61">
        <v>1</v>
      </c>
    </row>
    <row r="3" spans="2:6" ht="9.9499999999999993" customHeight="1" thickBot="1" x14ac:dyDescent="0.3"/>
    <row r="4" spans="2:6" s="30" customFormat="1" ht="22.5" customHeight="1" thickBot="1" x14ac:dyDescent="0.3">
      <c r="B4" s="50" t="s">
        <v>52</v>
      </c>
      <c r="C4" s="52" t="s">
        <v>58</v>
      </c>
      <c r="E4" s="50" t="s">
        <v>53</v>
      </c>
      <c r="F4" s="52" t="s">
        <v>59</v>
      </c>
    </row>
    <row r="5" spans="2:6" s="29" customFormat="1" ht="9.9499999999999993" customHeight="1" thickBot="1" x14ac:dyDescent="0.35"/>
    <row r="6" spans="2:6" s="30" customFormat="1" ht="22.5" customHeight="1" thickBot="1" x14ac:dyDescent="0.3">
      <c r="B6" s="50" t="s">
        <v>54</v>
      </c>
      <c r="C6" s="53" t="s">
        <v>62</v>
      </c>
      <c r="E6" s="50" t="s">
        <v>55</v>
      </c>
      <c r="F6" s="54" t="s">
        <v>63</v>
      </c>
    </row>
    <row r="7" spans="2:6" s="29" customFormat="1" ht="9.9499999999999993" customHeight="1" thickBot="1" x14ac:dyDescent="0.35"/>
    <row r="8" spans="2:6" s="30" customFormat="1" ht="22.5" customHeight="1" thickBot="1" x14ac:dyDescent="0.3">
      <c r="B8" s="50" t="s">
        <v>60</v>
      </c>
      <c r="C8" s="52" t="s">
        <v>64</v>
      </c>
      <c r="E8" s="50" t="s">
        <v>61</v>
      </c>
      <c r="F8" s="52" t="s">
        <v>65</v>
      </c>
    </row>
    <row r="9" spans="2:6" s="29" customFormat="1" ht="9.9499999999999993" customHeight="1" thickBot="1" x14ac:dyDescent="0.35"/>
    <row r="10" spans="2:6" s="30" customFormat="1" ht="22.5" customHeight="1" thickBot="1" x14ac:dyDescent="0.3">
      <c r="B10" s="50" t="s">
        <v>56</v>
      </c>
      <c r="C10" s="52" t="s">
        <v>66</v>
      </c>
      <c r="E10" s="50" t="s">
        <v>57</v>
      </c>
      <c r="F10" s="52" t="s">
        <v>67</v>
      </c>
    </row>
    <row r="11" spans="2:6" s="29" customFormat="1" ht="9.9499999999999993" customHeight="1" x14ac:dyDescent="0.3"/>
    <row r="12" spans="2:6" s="30" customFormat="1" ht="22.5" customHeight="1" thickBot="1" x14ac:dyDescent="0.3">
      <c r="B12" s="30" t="s">
        <v>83</v>
      </c>
    </row>
    <row r="13" spans="2:6" ht="162" customHeight="1" thickBot="1" x14ac:dyDescent="0.3">
      <c r="B13" s="55" t="s">
        <v>68</v>
      </c>
      <c r="C13" s="56"/>
      <c r="D13" s="56"/>
      <c r="E13" s="56"/>
      <c r="F13" s="57"/>
    </row>
    <row r="15" spans="2:6" ht="19.5" thickBot="1" x14ac:dyDescent="0.3">
      <c r="B15" s="30" t="s">
        <v>84</v>
      </c>
      <c r="C15" s="30"/>
      <c r="D15" s="30"/>
      <c r="E15" s="30"/>
      <c r="F15" s="30"/>
    </row>
    <row r="16" spans="2:6" ht="117" customHeight="1" thickBot="1" x14ac:dyDescent="0.3">
      <c r="B16" s="55" t="s">
        <v>85</v>
      </c>
      <c r="C16" s="56"/>
      <c r="D16" s="56"/>
      <c r="E16" s="56"/>
      <c r="F16" s="57"/>
    </row>
  </sheetData>
  <sheetProtection sheet="1" objects="1" scenarios="1" selectLockedCells="1"/>
  <mergeCells count="2">
    <mergeCell ref="B13:F13"/>
    <mergeCell ref="B16:F16"/>
  </mergeCells>
  <hyperlinks>
    <hyperlink ref="F6" r:id="rId1" xr:uid="{9C6FC520-815B-4C5B-B88B-E1A657DE9E9E}"/>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489D3523-9E6F-487A-A805-A76AE3150039}">
          <x14:formula1>
            <xm:f>References!$C$2:$C$11</xm:f>
          </x14:formula1>
          <xm:sqref>F2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B3A6E-7C3C-4A37-996F-1A1F4CF5E239}">
  <sheetPr>
    <tabColor rgb="FFFFFF00"/>
  </sheetPr>
  <dimension ref="B1:P105"/>
  <sheetViews>
    <sheetView showGridLines="0" workbookViewId="0">
      <selection activeCell="H7" sqref="H7:J27"/>
    </sheetView>
  </sheetViews>
  <sheetFormatPr defaultRowHeight="15" x14ac:dyDescent="0.25"/>
  <cols>
    <col min="1" max="1" width="0.85546875" customWidth="1"/>
    <col min="2" max="2" width="10.7109375" customWidth="1"/>
    <col min="3" max="3" width="28.7109375" customWidth="1"/>
    <col min="4" max="4" width="9.5703125" customWidth="1"/>
    <col min="5" max="5" width="14" style="1" customWidth="1"/>
    <col min="6" max="6" width="14" style="6" customWidth="1"/>
    <col min="7" max="7" width="3.140625" customWidth="1"/>
    <col min="8" max="8" width="28.7109375" customWidth="1"/>
    <col min="9" max="9" width="45.7109375" customWidth="1"/>
    <col min="10" max="10" width="10.7109375" style="1" customWidth="1"/>
    <col min="11" max="11" width="3.140625" customWidth="1"/>
    <col min="12" max="12" width="28.7109375" customWidth="1"/>
    <col min="13" max="13" width="45.7109375" customWidth="1"/>
    <col min="14" max="14" width="10.7109375" style="6" customWidth="1"/>
    <col min="15" max="15" width="10.7109375" style="23" customWidth="1"/>
    <col min="16" max="16" width="10.7109375" style="6" customWidth="1"/>
  </cols>
  <sheetData>
    <row r="1" spans="2:16" ht="5.0999999999999996" customHeight="1" thickBot="1" x14ac:dyDescent="0.3"/>
    <row r="2" spans="2:16" ht="22.5" customHeight="1" thickBot="1" x14ac:dyDescent="0.3">
      <c r="B2" s="51" t="str">
        <f ca="1">Customer!C2</f>
        <v>JH-20260428-01</v>
      </c>
      <c r="C2" s="51"/>
      <c r="D2" s="99"/>
      <c r="E2" s="46">
        <f>SUM($F$4+((I4*J4)*$E$4)+((M4*N4)*$E$4))</f>
        <v>16425</v>
      </c>
      <c r="F2" s="47"/>
    </row>
    <row r="3" spans="2:16" ht="5.0999999999999996" customHeight="1" thickBot="1" x14ac:dyDescent="0.3"/>
    <row r="4" spans="2:16" s="30" customFormat="1" ht="22.5" customHeight="1" thickBot="1" x14ac:dyDescent="0.3">
      <c r="B4" s="36" t="s">
        <v>14</v>
      </c>
      <c r="C4" s="36"/>
      <c r="D4" s="33"/>
      <c r="E4" s="34">
        <f>SUM(E7:E45)</f>
        <v>14.75</v>
      </c>
      <c r="F4" s="35">
        <f>SUM(F7:F45)</f>
        <v>6100</v>
      </c>
      <c r="H4" s="43" t="s">
        <v>36</v>
      </c>
      <c r="I4" s="45">
        <v>1</v>
      </c>
      <c r="J4" s="44">
        <v>500</v>
      </c>
      <c r="L4" s="43" t="s">
        <v>88</v>
      </c>
      <c r="M4" s="45">
        <v>1</v>
      </c>
      <c r="N4" s="44">
        <v>200</v>
      </c>
      <c r="O4" s="32"/>
      <c r="P4" s="31"/>
    </row>
    <row r="5" spans="2:16" ht="5.0999999999999996" customHeight="1" thickBot="1" x14ac:dyDescent="0.3">
      <c r="H5" t="s">
        <v>36</v>
      </c>
    </row>
    <row r="6" spans="2:16" ht="15.75" thickBot="1" x14ac:dyDescent="0.3">
      <c r="B6" s="2" t="s">
        <v>15</v>
      </c>
      <c r="C6" s="2" t="s">
        <v>0</v>
      </c>
      <c r="D6" s="2" t="s">
        <v>90</v>
      </c>
      <c r="E6" s="7" t="s">
        <v>1</v>
      </c>
      <c r="F6" s="5" t="s">
        <v>2</v>
      </c>
      <c r="H6" s="8" t="s">
        <v>0</v>
      </c>
      <c r="I6" s="8" t="s">
        <v>3</v>
      </c>
      <c r="J6" s="8" t="s">
        <v>1</v>
      </c>
      <c r="L6" s="2" t="s">
        <v>0</v>
      </c>
      <c r="M6" s="2" t="s">
        <v>4</v>
      </c>
      <c r="N6" s="5" t="s">
        <v>5</v>
      </c>
      <c r="O6" s="24" t="s">
        <v>13</v>
      </c>
      <c r="P6" s="5" t="s">
        <v>12</v>
      </c>
    </row>
    <row r="7" spans="2:16" x14ac:dyDescent="0.25">
      <c r="B7" s="3">
        <f>IF(C7="","",1)</f>
        <v>1</v>
      </c>
      <c r="C7" s="17" t="s">
        <v>6</v>
      </c>
      <c r="D7" s="17"/>
      <c r="E7" s="9">
        <f>IF(C7="","",SUMIF(H:H,C7,J:J))</f>
        <v>1.5</v>
      </c>
      <c r="F7" s="12">
        <f>IF(C7="","",SUMIF(L:L,C7,P:P))</f>
        <v>100</v>
      </c>
      <c r="H7" s="15" t="s">
        <v>6</v>
      </c>
      <c r="I7" s="15" t="s">
        <v>16</v>
      </c>
      <c r="J7" s="41">
        <v>1</v>
      </c>
      <c r="L7" s="17" t="s">
        <v>6</v>
      </c>
      <c r="M7" s="17" t="s">
        <v>37</v>
      </c>
      <c r="N7" s="20">
        <v>100</v>
      </c>
      <c r="O7" s="25">
        <v>0</v>
      </c>
      <c r="P7" s="12">
        <f>IF(L7="","",N7*(O7+1))</f>
        <v>100</v>
      </c>
    </row>
    <row r="8" spans="2:16" x14ac:dyDescent="0.25">
      <c r="B8" s="3">
        <f>IF(C8="","",B7+1)</f>
        <v>2</v>
      </c>
      <c r="C8" s="18" t="s">
        <v>7</v>
      </c>
      <c r="D8" s="18" t="s">
        <v>91</v>
      </c>
      <c r="E8" s="10">
        <f>IF(C8="","",SUMIF(H:H,C8,J:J))</f>
        <v>2.5</v>
      </c>
      <c r="F8" s="13">
        <f>IF(C8="","",SUMIF(L:L,C8,P:P))</f>
        <v>1530</v>
      </c>
      <c r="H8" s="15" t="s">
        <v>6</v>
      </c>
      <c r="I8" s="15" t="s">
        <v>17</v>
      </c>
      <c r="J8" s="41">
        <v>0.5</v>
      </c>
      <c r="L8" s="18" t="s">
        <v>7</v>
      </c>
      <c r="M8" s="18" t="s">
        <v>38</v>
      </c>
      <c r="N8" s="21">
        <v>200</v>
      </c>
      <c r="O8" s="26">
        <v>0</v>
      </c>
      <c r="P8" s="13">
        <f t="shared" ref="P8:P71" si="0">IF(L8="","",N8*(O8+1))</f>
        <v>200</v>
      </c>
    </row>
    <row r="9" spans="2:16" x14ac:dyDescent="0.25">
      <c r="B9" s="3">
        <f t="shared" ref="B9:B46" si="1">IF(C9="","",B8+1)</f>
        <v>3</v>
      </c>
      <c r="C9" s="18" t="s">
        <v>10</v>
      </c>
      <c r="D9" s="18" t="s">
        <v>91</v>
      </c>
      <c r="E9" s="10">
        <f>IF(C9="","",SUMIF(H:H,C9,J:J))</f>
        <v>2</v>
      </c>
      <c r="F9" s="13">
        <f>IF(C9="","",SUMIF(L:L,C9,P:P))</f>
        <v>1650.0000000000002</v>
      </c>
      <c r="H9" s="15" t="s">
        <v>7</v>
      </c>
      <c r="I9" s="15" t="s">
        <v>18</v>
      </c>
      <c r="J9" s="41">
        <v>1</v>
      </c>
      <c r="L9" s="18" t="s">
        <v>7</v>
      </c>
      <c r="M9" s="18" t="s">
        <v>39</v>
      </c>
      <c r="N9" s="21">
        <v>200</v>
      </c>
      <c r="O9" s="26">
        <v>0.40000000000000008</v>
      </c>
      <c r="P9" s="13">
        <f t="shared" si="0"/>
        <v>280</v>
      </c>
    </row>
    <row r="10" spans="2:16" x14ac:dyDescent="0.25">
      <c r="B10" s="3">
        <f t="shared" si="1"/>
        <v>4</v>
      </c>
      <c r="C10" s="18" t="s">
        <v>9</v>
      </c>
      <c r="D10" s="18"/>
      <c r="E10" s="10">
        <f>IF(C10="","",SUMIF(H:H,C10,J:J))</f>
        <v>3</v>
      </c>
      <c r="F10" s="13">
        <f>IF(C10="","",SUMIF(L:L,C10,P:P))</f>
        <v>1380</v>
      </c>
      <c r="H10" s="15" t="s">
        <v>7</v>
      </c>
      <c r="I10" s="15" t="s">
        <v>19</v>
      </c>
      <c r="J10" s="41">
        <v>0.5</v>
      </c>
      <c r="L10" s="18" t="s">
        <v>7</v>
      </c>
      <c r="M10" s="18" t="s">
        <v>40</v>
      </c>
      <c r="N10" s="21">
        <v>1000</v>
      </c>
      <c r="O10" s="26">
        <v>0</v>
      </c>
      <c r="P10" s="13">
        <f t="shared" si="0"/>
        <v>1000</v>
      </c>
    </row>
    <row r="11" spans="2:16" x14ac:dyDescent="0.25">
      <c r="B11" s="3">
        <f t="shared" si="1"/>
        <v>5</v>
      </c>
      <c r="C11" s="18" t="s">
        <v>8</v>
      </c>
      <c r="D11" s="18" t="s">
        <v>91</v>
      </c>
      <c r="E11" s="10">
        <f>IF(C11="","",SUMIF(H:H,C11,J:J))</f>
        <v>1.25</v>
      </c>
      <c r="F11" s="13">
        <f>IF(C11="","",SUMIF(L:L,C11,P:P))</f>
        <v>600</v>
      </c>
      <c r="H11" s="15" t="s">
        <v>7</v>
      </c>
      <c r="I11" s="15" t="s">
        <v>20</v>
      </c>
      <c r="J11" s="41">
        <v>1</v>
      </c>
      <c r="L11" s="18" t="s">
        <v>7</v>
      </c>
      <c r="M11" s="18" t="s">
        <v>42</v>
      </c>
      <c r="N11" s="21">
        <v>50</v>
      </c>
      <c r="O11" s="26">
        <v>0</v>
      </c>
      <c r="P11" s="13">
        <f t="shared" si="0"/>
        <v>50</v>
      </c>
    </row>
    <row r="12" spans="2:16" x14ac:dyDescent="0.25">
      <c r="B12" s="3">
        <f t="shared" si="1"/>
        <v>6</v>
      </c>
      <c r="C12" s="18" t="s">
        <v>11</v>
      </c>
      <c r="D12" s="18"/>
      <c r="E12" s="10">
        <f>IF(C12="","",SUMIF(H:H,C12,J:J))</f>
        <v>1</v>
      </c>
      <c r="F12" s="13">
        <f>IF(C12="","",SUMIF(L:L,C12,P:P))</f>
        <v>540</v>
      </c>
      <c r="H12" s="15" t="s">
        <v>8</v>
      </c>
      <c r="I12" s="15" t="s">
        <v>21</v>
      </c>
      <c r="J12" s="41">
        <v>0.25</v>
      </c>
      <c r="L12" s="18" t="s">
        <v>8</v>
      </c>
      <c r="M12" s="18" t="s">
        <v>41</v>
      </c>
      <c r="N12" s="21">
        <v>100</v>
      </c>
      <c r="O12" s="26">
        <v>0</v>
      </c>
      <c r="P12" s="13">
        <f t="shared" si="0"/>
        <v>100</v>
      </c>
    </row>
    <row r="13" spans="2:16" x14ac:dyDescent="0.25">
      <c r="B13" s="3">
        <f t="shared" si="1"/>
        <v>7</v>
      </c>
      <c r="C13" s="18" t="s">
        <v>32</v>
      </c>
      <c r="D13" s="18"/>
      <c r="E13" s="10">
        <f>IF(C13="","",SUMIF(H:H,C13,J:J))</f>
        <v>2.5</v>
      </c>
      <c r="F13" s="13">
        <f>IF(C13="","",SUMIF(L:L,C13,P:P))</f>
        <v>300</v>
      </c>
      <c r="H13" s="15" t="s">
        <v>8</v>
      </c>
      <c r="I13" s="15" t="s">
        <v>22</v>
      </c>
      <c r="J13" s="41">
        <v>0.5</v>
      </c>
      <c r="L13" s="18" t="s">
        <v>8</v>
      </c>
      <c r="M13" s="18" t="s">
        <v>8</v>
      </c>
      <c r="N13" s="21">
        <v>500</v>
      </c>
      <c r="O13" s="26">
        <v>0</v>
      </c>
      <c r="P13" s="13">
        <f t="shared" si="0"/>
        <v>500</v>
      </c>
    </row>
    <row r="14" spans="2:16" x14ac:dyDescent="0.25">
      <c r="B14" s="3">
        <f t="shared" si="1"/>
        <v>8</v>
      </c>
      <c r="C14" s="18" t="s">
        <v>86</v>
      </c>
      <c r="D14" s="18" t="s">
        <v>91</v>
      </c>
      <c r="E14" s="10">
        <f>IF(C14="","",SUMIF(H:H,C14,J:J))</f>
        <v>1</v>
      </c>
      <c r="F14" s="13">
        <f>IF(C14="","",SUMIF(L:L,C14,P:P))</f>
        <v>0</v>
      </c>
      <c r="H14" s="15" t="s">
        <v>8</v>
      </c>
      <c r="I14" s="15" t="s">
        <v>23</v>
      </c>
      <c r="J14" s="41">
        <v>0.5</v>
      </c>
      <c r="L14" s="18" t="s">
        <v>9</v>
      </c>
      <c r="M14" s="18" t="s">
        <v>43</v>
      </c>
      <c r="N14" s="21">
        <v>500</v>
      </c>
      <c r="O14" s="26">
        <v>0.19999999999999998</v>
      </c>
      <c r="P14" s="13">
        <f t="shared" si="0"/>
        <v>600</v>
      </c>
    </row>
    <row r="15" spans="2:16" x14ac:dyDescent="0.25">
      <c r="B15" s="3" t="str">
        <f t="shared" si="1"/>
        <v/>
      </c>
      <c r="C15" s="18"/>
      <c r="D15" s="18"/>
      <c r="E15" s="10" t="str">
        <f>IF(C15="","",SUMIF(H:H,C15,J:J))</f>
        <v/>
      </c>
      <c r="F15" s="13" t="str">
        <f>IF(C15="","",SUMIF(L:L,C15,P:P))</f>
        <v/>
      </c>
      <c r="H15" s="15" t="s">
        <v>9</v>
      </c>
      <c r="I15" s="15" t="s">
        <v>44</v>
      </c>
      <c r="J15" s="41">
        <v>1</v>
      </c>
      <c r="L15" s="18" t="s">
        <v>9</v>
      </c>
      <c r="M15" s="18" t="s">
        <v>45</v>
      </c>
      <c r="N15" s="21">
        <v>500</v>
      </c>
      <c r="O15" s="26">
        <v>0</v>
      </c>
      <c r="P15" s="13">
        <f t="shared" si="0"/>
        <v>500</v>
      </c>
    </row>
    <row r="16" spans="2:16" x14ac:dyDescent="0.25">
      <c r="B16" s="3" t="str">
        <f t="shared" si="1"/>
        <v/>
      </c>
      <c r="C16" s="18"/>
      <c r="D16" s="18"/>
      <c r="E16" s="10" t="str">
        <f>IF(C16="","",SUMIF(H:H,C16,J:J))</f>
        <v/>
      </c>
      <c r="F16" s="13" t="str">
        <f>IF(C16="","",SUMIF(L:L,C16,P:P))</f>
        <v/>
      </c>
      <c r="H16" s="15" t="s">
        <v>9</v>
      </c>
      <c r="I16" s="15" t="s">
        <v>24</v>
      </c>
      <c r="J16" s="41">
        <v>0.5</v>
      </c>
      <c r="L16" s="18" t="s">
        <v>9</v>
      </c>
      <c r="M16" s="18" t="s">
        <v>39</v>
      </c>
      <c r="N16" s="21">
        <v>200</v>
      </c>
      <c r="O16" s="26">
        <v>0.40000000000000008</v>
      </c>
      <c r="P16" s="13">
        <f t="shared" si="0"/>
        <v>280</v>
      </c>
    </row>
    <row r="17" spans="2:16" x14ac:dyDescent="0.25">
      <c r="B17" s="3" t="str">
        <f t="shared" si="1"/>
        <v/>
      </c>
      <c r="C17" s="18"/>
      <c r="D17" s="18"/>
      <c r="E17" s="10" t="str">
        <f>IF(C17="","",SUMIF(H:H,C17,J:J))</f>
        <v/>
      </c>
      <c r="F17" s="13" t="str">
        <f>IF(C17="","",SUMIF(L:L,C17,P:P))</f>
        <v/>
      </c>
      <c r="H17" s="15" t="s">
        <v>9</v>
      </c>
      <c r="I17" s="15" t="s">
        <v>25</v>
      </c>
      <c r="J17" s="41">
        <v>0.5</v>
      </c>
      <c r="L17" s="18" t="s">
        <v>10</v>
      </c>
      <c r="M17" s="18" t="s">
        <v>46</v>
      </c>
      <c r="N17" s="21">
        <v>1500</v>
      </c>
      <c r="O17" s="26">
        <v>0.1</v>
      </c>
      <c r="P17" s="13">
        <f t="shared" si="0"/>
        <v>1650.0000000000002</v>
      </c>
    </row>
    <row r="18" spans="2:16" x14ac:dyDescent="0.25">
      <c r="B18" s="3" t="str">
        <f t="shared" si="1"/>
        <v/>
      </c>
      <c r="C18" s="18"/>
      <c r="D18" s="18"/>
      <c r="E18" s="10" t="str">
        <f>IF(C18="","",SUMIF(H:H,C18,J:J))</f>
        <v/>
      </c>
      <c r="F18" s="13" t="str">
        <f>IF(C18="","",SUMIF(L:L,C18,P:P))</f>
        <v/>
      </c>
      <c r="H18" s="15" t="s">
        <v>9</v>
      </c>
      <c r="I18" s="15" t="s">
        <v>26</v>
      </c>
      <c r="J18" s="41">
        <v>1</v>
      </c>
      <c r="L18" s="18" t="s">
        <v>11</v>
      </c>
      <c r="M18" s="18" t="s">
        <v>37</v>
      </c>
      <c r="N18" s="21">
        <v>200</v>
      </c>
      <c r="O18" s="26">
        <v>0</v>
      </c>
      <c r="P18" s="13">
        <f t="shared" si="0"/>
        <v>200</v>
      </c>
    </row>
    <row r="19" spans="2:16" x14ac:dyDescent="0.25">
      <c r="B19" s="3" t="str">
        <f t="shared" si="1"/>
        <v/>
      </c>
      <c r="C19" s="18"/>
      <c r="D19" s="18"/>
      <c r="E19" s="10" t="str">
        <f>IF(C19="","",SUMIF(H:H,C19,J:J))</f>
        <v/>
      </c>
      <c r="F19" s="13" t="str">
        <f>IF(C19="","",SUMIF(L:L,C19,P:P))</f>
        <v/>
      </c>
      <c r="H19" s="15" t="s">
        <v>10</v>
      </c>
      <c r="I19" s="15" t="s">
        <v>29</v>
      </c>
      <c r="J19" s="41">
        <v>0.5</v>
      </c>
      <c r="L19" s="18" t="s">
        <v>11</v>
      </c>
      <c r="M19" s="18" t="s">
        <v>39</v>
      </c>
      <c r="N19" s="21">
        <v>100</v>
      </c>
      <c r="O19" s="26">
        <v>0.40000000000000008</v>
      </c>
      <c r="P19" s="13">
        <f t="shared" si="0"/>
        <v>140</v>
      </c>
    </row>
    <row r="20" spans="2:16" x14ac:dyDescent="0.25">
      <c r="B20" s="3" t="str">
        <f t="shared" si="1"/>
        <v/>
      </c>
      <c r="C20" s="18"/>
      <c r="D20" s="18"/>
      <c r="E20" s="10" t="str">
        <f>IF(C20="","",SUMIF(H:H,C20,J:J))</f>
        <v/>
      </c>
      <c r="F20" s="13" t="str">
        <f>IF(C20="","",SUMIF(L:L,C20,P:P))</f>
        <v/>
      </c>
      <c r="H20" s="15" t="s">
        <v>10</v>
      </c>
      <c r="I20" s="15" t="s">
        <v>28</v>
      </c>
      <c r="J20" s="41">
        <v>0.5</v>
      </c>
      <c r="L20" s="18" t="s">
        <v>11</v>
      </c>
      <c r="M20" s="18" t="s">
        <v>45</v>
      </c>
      <c r="N20" s="21">
        <v>100</v>
      </c>
      <c r="O20" s="26">
        <v>0</v>
      </c>
      <c r="P20" s="13">
        <f t="shared" si="0"/>
        <v>100</v>
      </c>
    </row>
    <row r="21" spans="2:16" x14ac:dyDescent="0.25">
      <c r="B21" s="3" t="str">
        <f t="shared" si="1"/>
        <v/>
      </c>
      <c r="C21" s="18"/>
      <c r="D21" s="18"/>
      <c r="E21" s="10" t="str">
        <f>IF(C21="","",SUMIF(H:H,C21,J:J))</f>
        <v/>
      </c>
      <c r="F21" s="13" t="str">
        <f>IF(C21="","",SUMIF(L:L,C21,P:P))</f>
        <v/>
      </c>
      <c r="H21" s="15" t="s">
        <v>10</v>
      </c>
      <c r="I21" s="15" t="s">
        <v>27</v>
      </c>
      <c r="J21" s="41">
        <v>0.5</v>
      </c>
      <c r="L21" s="18" t="s">
        <v>11</v>
      </c>
      <c r="M21" s="18" t="s">
        <v>47</v>
      </c>
      <c r="N21" s="21">
        <v>100</v>
      </c>
      <c r="O21" s="26">
        <v>0</v>
      </c>
      <c r="P21" s="13">
        <f t="shared" si="0"/>
        <v>100</v>
      </c>
    </row>
    <row r="22" spans="2:16" x14ac:dyDescent="0.25">
      <c r="B22" s="3" t="str">
        <f t="shared" si="1"/>
        <v/>
      </c>
      <c r="C22" s="18"/>
      <c r="D22" s="18"/>
      <c r="E22" s="10" t="str">
        <f>IF(C22="","",SUMIF(H:H,C22,J:J))</f>
        <v/>
      </c>
      <c r="F22" s="13" t="str">
        <f>IF(C22="","",SUMIF(L:L,C22,P:P))</f>
        <v/>
      </c>
      <c r="H22" s="15" t="s">
        <v>10</v>
      </c>
      <c r="I22" s="15" t="s">
        <v>30</v>
      </c>
      <c r="J22" s="41">
        <v>0.5</v>
      </c>
      <c r="L22" s="18" t="s">
        <v>32</v>
      </c>
      <c r="M22" s="18" t="s">
        <v>49</v>
      </c>
      <c r="N22" s="21">
        <v>150</v>
      </c>
      <c r="O22" s="26">
        <v>0</v>
      </c>
      <c r="P22" s="13">
        <f t="shared" si="0"/>
        <v>150</v>
      </c>
    </row>
    <row r="23" spans="2:16" x14ac:dyDescent="0.25">
      <c r="B23" s="3" t="str">
        <f t="shared" si="1"/>
        <v/>
      </c>
      <c r="C23" s="18"/>
      <c r="D23" s="18"/>
      <c r="E23" s="10" t="str">
        <f>IF(C23="","",SUMIF(H:H,C23,J:J))</f>
        <v/>
      </c>
      <c r="F23" s="13" t="str">
        <f>IF(C23="","",SUMIF(L:L,C23,P:P))</f>
        <v/>
      </c>
      <c r="H23" s="15" t="s">
        <v>11</v>
      </c>
      <c r="I23" s="15" t="s">
        <v>31</v>
      </c>
      <c r="J23" s="41">
        <v>1</v>
      </c>
      <c r="L23" s="18" t="s">
        <v>32</v>
      </c>
      <c r="M23" s="18" t="s">
        <v>50</v>
      </c>
      <c r="N23" s="21">
        <v>50</v>
      </c>
      <c r="O23" s="26">
        <v>0</v>
      </c>
      <c r="P23" s="13">
        <f t="shared" si="0"/>
        <v>50</v>
      </c>
    </row>
    <row r="24" spans="2:16" x14ac:dyDescent="0.25">
      <c r="B24" s="3" t="str">
        <f t="shared" si="1"/>
        <v/>
      </c>
      <c r="C24" s="18"/>
      <c r="D24" s="18"/>
      <c r="E24" s="10" t="str">
        <f>IF(C24="","",SUMIF(H:H,C24,J:J))</f>
        <v/>
      </c>
      <c r="F24" s="13" t="str">
        <f>IF(C24="","",SUMIF(L:L,C24,P:P))</f>
        <v/>
      </c>
      <c r="H24" s="15" t="s">
        <v>32</v>
      </c>
      <c r="I24" s="15" t="s">
        <v>33</v>
      </c>
      <c r="J24" s="41">
        <v>1</v>
      </c>
      <c r="L24" s="18" t="s">
        <v>32</v>
      </c>
      <c r="M24" s="18" t="s">
        <v>51</v>
      </c>
      <c r="N24" s="21">
        <v>100</v>
      </c>
      <c r="O24" s="26">
        <v>0</v>
      </c>
      <c r="P24" s="13">
        <f t="shared" si="0"/>
        <v>100</v>
      </c>
    </row>
    <row r="25" spans="2:16" x14ac:dyDescent="0.25">
      <c r="B25" s="3" t="str">
        <f t="shared" si="1"/>
        <v/>
      </c>
      <c r="C25" s="18"/>
      <c r="D25" s="18"/>
      <c r="E25" s="10" t="str">
        <f>IF(C25="","",SUMIF(H:H,C25,J:J))</f>
        <v/>
      </c>
      <c r="F25" s="13" t="str">
        <f>IF(C25="","",SUMIF(L:L,C25,P:P))</f>
        <v/>
      </c>
      <c r="H25" s="15" t="s">
        <v>32</v>
      </c>
      <c r="I25" s="15" t="s">
        <v>34</v>
      </c>
      <c r="J25" s="41">
        <v>0.5</v>
      </c>
      <c r="L25" s="18"/>
      <c r="M25" s="18"/>
      <c r="N25" s="21"/>
      <c r="O25" s="26"/>
      <c r="P25" s="13" t="str">
        <f t="shared" si="0"/>
        <v/>
      </c>
    </row>
    <row r="26" spans="2:16" x14ac:dyDescent="0.25">
      <c r="B26" s="3" t="str">
        <f t="shared" si="1"/>
        <v/>
      </c>
      <c r="C26" s="18"/>
      <c r="D26" s="18"/>
      <c r="E26" s="10" t="str">
        <f>IF(C26="","",SUMIF(H:H,C26,J:J))</f>
        <v/>
      </c>
      <c r="F26" s="13" t="str">
        <f>IF(C26="","",SUMIF(L:L,C26,P:P))</f>
        <v/>
      </c>
      <c r="H26" s="15" t="s">
        <v>32</v>
      </c>
      <c r="I26" s="15" t="s">
        <v>35</v>
      </c>
      <c r="J26" s="41">
        <v>1</v>
      </c>
      <c r="L26" s="18"/>
      <c r="M26" s="18"/>
      <c r="N26" s="21"/>
      <c r="O26" s="26"/>
      <c r="P26" s="13" t="str">
        <f t="shared" si="0"/>
        <v/>
      </c>
    </row>
    <row r="27" spans="2:16" x14ac:dyDescent="0.25">
      <c r="B27" s="3" t="str">
        <f t="shared" si="1"/>
        <v/>
      </c>
      <c r="C27" s="18"/>
      <c r="D27" s="18"/>
      <c r="E27" s="10" t="str">
        <f>IF(C27="","",SUMIF(H:H,C27,J:J))</f>
        <v/>
      </c>
      <c r="F27" s="13" t="str">
        <f>IF(C27="","",SUMIF(L:L,C27,P:P))</f>
        <v/>
      </c>
      <c r="H27" s="15" t="s">
        <v>86</v>
      </c>
      <c r="I27" s="15" t="s">
        <v>87</v>
      </c>
      <c r="J27" s="41">
        <v>1</v>
      </c>
      <c r="L27" s="18"/>
      <c r="M27" s="18"/>
      <c r="N27" s="21"/>
      <c r="O27" s="26"/>
      <c r="P27" s="13" t="str">
        <f t="shared" si="0"/>
        <v/>
      </c>
    </row>
    <row r="28" spans="2:16" x14ac:dyDescent="0.25">
      <c r="B28" s="3" t="str">
        <f t="shared" si="1"/>
        <v/>
      </c>
      <c r="C28" s="18"/>
      <c r="D28" s="18"/>
      <c r="E28" s="10" t="str">
        <f>IF(C28="","",SUMIF(H:H,C28,J:J))</f>
        <v/>
      </c>
      <c r="F28" s="13" t="str">
        <f>IF(C28="","",SUMIF(L:L,C28,P:P))</f>
        <v/>
      </c>
      <c r="H28" s="15"/>
      <c r="I28" s="15"/>
      <c r="J28" s="41"/>
      <c r="L28" s="18"/>
      <c r="M28" s="18"/>
      <c r="N28" s="21"/>
      <c r="O28" s="26"/>
      <c r="P28" s="13" t="str">
        <f t="shared" si="0"/>
        <v/>
      </c>
    </row>
    <row r="29" spans="2:16" x14ac:dyDescent="0.25">
      <c r="B29" s="3" t="str">
        <f t="shared" si="1"/>
        <v/>
      </c>
      <c r="C29" s="18"/>
      <c r="D29" s="18"/>
      <c r="E29" s="10" t="str">
        <f>IF(C29="","",SUMIF(H:H,C29,J:J))</f>
        <v/>
      </c>
      <c r="F29" s="13" t="str">
        <f>IF(C29="","",SUMIF(L:L,C29,P:P))</f>
        <v/>
      </c>
      <c r="H29" s="15"/>
      <c r="I29" s="15"/>
      <c r="J29" s="41"/>
      <c r="L29" s="18"/>
      <c r="M29" s="18"/>
      <c r="N29" s="21"/>
      <c r="O29" s="26"/>
      <c r="P29" s="13" t="str">
        <f t="shared" si="0"/>
        <v/>
      </c>
    </row>
    <row r="30" spans="2:16" x14ac:dyDescent="0.25">
      <c r="B30" s="3" t="str">
        <f t="shared" si="1"/>
        <v/>
      </c>
      <c r="C30" s="18"/>
      <c r="D30" s="18"/>
      <c r="E30" s="10" t="str">
        <f>IF(C30="","",SUMIF(H:H,C30,J:J))</f>
        <v/>
      </c>
      <c r="F30" s="13" t="str">
        <f>IF(C30="","",SUMIF(L:L,C30,P:P))</f>
        <v/>
      </c>
      <c r="H30" s="15"/>
      <c r="I30" s="15"/>
      <c r="J30" s="41"/>
      <c r="L30" s="18"/>
      <c r="M30" s="18"/>
      <c r="N30" s="21"/>
      <c r="O30" s="26"/>
      <c r="P30" s="13" t="str">
        <f t="shared" si="0"/>
        <v/>
      </c>
    </row>
    <row r="31" spans="2:16" x14ac:dyDescent="0.25">
      <c r="B31" s="3" t="str">
        <f t="shared" si="1"/>
        <v/>
      </c>
      <c r="C31" s="18"/>
      <c r="D31" s="18"/>
      <c r="E31" s="10" t="str">
        <f>IF(C31="","",SUMIF(H:H,C31,J:J))</f>
        <v/>
      </c>
      <c r="F31" s="13" t="str">
        <f>IF(C31="","",SUMIF(L:L,C31,P:P))</f>
        <v/>
      </c>
      <c r="H31" s="15"/>
      <c r="I31" s="15"/>
      <c r="J31" s="41"/>
      <c r="L31" s="18"/>
      <c r="M31" s="18"/>
      <c r="N31" s="21"/>
      <c r="O31" s="26"/>
      <c r="P31" s="13" t="str">
        <f t="shared" si="0"/>
        <v/>
      </c>
    </row>
    <row r="32" spans="2:16" x14ac:dyDescent="0.25">
      <c r="B32" s="3" t="str">
        <f t="shared" si="1"/>
        <v/>
      </c>
      <c r="C32" s="18"/>
      <c r="D32" s="18"/>
      <c r="E32" s="10" t="str">
        <f>IF(C32="","",SUMIF(H:H,C32,J:J))</f>
        <v/>
      </c>
      <c r="F32" s="13" t="str">
        <f>IF(C32="","",SUMIF(L:L,C32,P:P))</f>
        <v/>
      </c>
      <c r="H32" s="15"/>
      <c r="I32" s="15"/>
      <c r="J32" s="41"/>
      <c r="L32" s="18"/>
      <c r="M32" s="18"/>
      <c r="N32" s="21"/>
      <c r="O32" s="26"/>
      <c r="P32" s="13" t="str">
        <f t="shared" si="0"/>
        <v/>
      </c>
    </row>
    <row r="33" spans="2:16" x14ac:dyDescent="0.25">
      <c r="B33" s="3" t="str">
        <f t="shared" si="1"/>
        <v/>
      </c>
      <c r="C33" s="18"/>
      <c r="D33" s="18"/>
      <c r="E33" s="10" t="str">
        <f>IF(C33="","",SUMIF(H:H,C33,J:J))</f>
        <v/>
      </c>
      <c r="F33" s="13" t="str">
        <f>IF(C33="","",SUMIF(L:L,C33,P:P))</f>
        <v/>
      </c>
      <c r="H33" s="15"/>
      <c r="I33" s="15"/>
      <c r="J33" s="41"/>
      <c r="L33" s="18"/>
      <c r="M33" s="18"/>
      <c r="N33" s="21"/>
      <c r="O33" s="26"/>
      <c r="P33" s="13" t="str">
        <f t="shared" si="0"/>
        <v/>
      </c>
    </row>
    <row r="34" spans="2:16" x14ac:dyDescent="0.25">
      <c r="B34" s="3" t="str">
        <f t="shared" si="1"/>
        <v/>
      </c>
      <c r="C34" s="18"/>
      <c r="D34" s="18"/>
      <c r="E34" s="10" t="str">
        <f>IF(C34="","",SUMIF(H:H,C34,J:J))</f>
        <v/>
      </c>
      <c r="F34" s="13" t="str">
        <f>IF(C34="","",SUMIF(L:L,C34,P:P))</f>
        <v/>
      </c>
      <c r="H34" s="15"/>
      <c r="I34" s="15"/>
      <c r="J34" s="41"/>
      <c r="L34" s="18"/>
      <c r="M34" s="18"/>
      <c r="N34" s="21"/>
      <c r="O34" s="26"/>
      <c r="P34" s="13" t="str">
        <f t="shared" si="0"/>
        <v/>
      </c>
    </row>
    <row r="35" spans="2:16" x14ac:dyDescent="0.25">
      <c r="B35" s="3" t="str">
        <f t="shared" si="1"/>
        <v/>
      </c>
      <c r="C35" s="18"/>
      <c r="D35" s="18"/>
      <c r="E35" s="10" t="str">
        <f>IF(C35="","",SUMIF(H:H,C35,J:J))</f>
        <v/>
      </c>
      <c r="F35" s="13" t="str">
        <f>IF(C35="","",SUMIF(L:L,C35,P:P))</f>
        <v/>
      </c>
      <c r="H35" s="15"/>
      <c r="I35" s="15"/>
      <c r="J35" s="41"/>
      <c r="L35" s="18"/>
      <c r="M35" s="18"/>
      <c r="N35" s="21"/>
      <c r="O35" s="26"/>
      <c r="P35" s="13" t="str">
        <f t="shared" si="0"/>
        <v/>
      </c>
    </row>
    <row r="36" spans="2:16" x14ac:dyDescent="0.25">
      <c r="B36" s="3" t="str">
        <f t="shared" si="1"/>
        <v/>
      </c>
      <c r="C36" s="18"/>
      <c r="D36" s="18"/>
      <c r="E36" s="10" t="str">
        <f>IF(C36="","",SUMIF(H:H,C36,J:J))</f>
        <v/>
      </c>
      <c r="F36" s="13" t="str">
        <f>IF(C36="","",SUMIF(L:L,C36,P:P))</f>
        <v/>
      </c>
      <c r="H36" s="15"/>
      <c r="I36" s="15"/>
      <c r="J36" s="41"/>
      <c r="L36" s="18"/>
      <c r="M36" s="18"/>
      <c r="N36" s="21"/>
      <c r="O36" s="26"/>
      <c r="P36" s="13" t="str">
        <f t="shared" si="0"/>
        <v/>
      </c>
    </row>
    <row r="37" spans="2:16" x14ac:dyDescent="0.25">
      <c r="B37" s="3" t="str">
        <f t="shared" si="1"/>
        <v/>
      </c>
      <c r="C37" s="18"/>
      <c r="D37" s="18"/>
      <c r="E37" s="10" t="str">
        <f>IF(C37="","",SUMIF(H:H,C37,J:J))</f>
        <v/>
      </c>
      <c r="F37" s="13" t="str">
        <f>IF(C37="","",SUMIF(L:L,C37,P:P))</f>
        <v/>
      </c>
      <c r="H37" s="15"/>
      <c r="I37" s="15"/>
      <c r="J37" s="41"/>
      <c r="L37" s="18"/>
      <c r="M37" s="18"/>
      <c r="N37" s="21"/>
      <c r="O37" s="26"/>
      <c r="P37" s="13" t="str">
        <f t="shared" si="0"/>
        <v/>
      </c>
    </row>
    <row r="38" spans="2:16" x14ac:dyDescent="0.25">
      <c r="B38" s="3" t="str">
        <f t="shared" si="1"/>
        <v/>
      </c>
      <c r="C38" s="18"/>
      <c r="D38" s="18"/>
      <c r="E38" s="10" t="str">
        <f>IF(C38="","",SUMIF(H:H,C38,J:J))</f>
        <v/>
      </c>
      <c r="F38" s="13" t="str">
        <f>IF(C38="","",SUMIF(L:L,C38,P:P))</f>
        <v/>
      </c>
      <c r="H38" s="15"/>
      <c r="I38" s="15"/>
      <c r="J38" s="41"/>
      <c r="L38" s="18"/>
      <c r="M38" s="18"/>
      <c r="N38" s="21"/>
      <c r="O38" s="26"/>
      <c r="P38" s="13" t="str">
        <f t="shared" si="0"/>
        <v/>
      </c>
    </row>
    <row r="39" spans="2:16" x14ac:dyDescent="0.25">
      <c r="B39" s="3" t="str">
        <f t="shared" si="1"/>
        <v/>
      </c>
      <c r="C39" s="18"/>
      <c r="D39" s="18"/>
      <c r="E39" s="10" t="str">
        <f>IF(C39="","",SUMIF(H:H,C39,J:J))</f>
        <v/>
      </c>
      <c r="F39" s="13" t="str">
        <f>IF(C39="","",SUMIF(L:L,C39,P:P))</f>
        <v/>
      </c>
      <c r="H39" s="15"/>
      <c r="I39" s="15"/>
      <c r="J39" s="41"/>
      <c r="L39" s="18"/>
      <c r="M39" s="18"/>
      <c r="N39" s="21"/>
      <c r="O39" s="26"/>
      <c r="P39" s="13" t="str">
        <f t="shared" si="0"/>
        <v/>
      </c>
    </row>
    <row r="40" spans="2:16" x14ac:dyDescent="0.25">
      <c r="B40" s="3" t="str">
        <f t="shared" si="1"/>
        <v/>
      </c>
      <c r="C40" s="18"/>
      <c r="D40" s="18"/>
      <c r="E40" s="10" t="str">
        <f>IF(C40="","",SUMIF(H:H,C40,J:J))</f>
        <v/>
      </c>
      <c r="F40" s="13" t="str">
        <f>IF(C40="","",SUMIF(L:L,C40,P:P))</f>
        <v/>
      </c>
      <c r="H40" s="15"/>
      <c r="I40" s="15"/>
      <c r="J40" s="41"/>
      <c r="L40" s="18"/>
      <c r="M40" s="18"/>
      <c r="N40" s="21"/>
      <c r="O40" s="26"/>
      <c r="P40" s="13" t="str">
        <f t="shared" si="0"/>
        <v/>
      </c>
    </row>
    <row r="41" spans="2:16" x14ac:dyDescent="0.25">
      <c r="B41" s="3" t="str">
        <f t="shared" si="1"/>
        <v/>
      </c>
      <c r="C41" s="18"/>
      <c r="D41" s="18"/>
      <c r="E41" s="10" t="str">
        <f>IF(C41="","",SUMIF(H:H,C41,J:J))</f>
        <v/>
      </c>
      <c r="F41" s="13" t="str">
        <f>IF(C41="","",SUMIF(L:L,C41,P:P))</f>
        <v/>
      </c>
      <c r="H41" s="15"/>
      <c r="I41" s="15"/>
      <c r="J41" s="41"/>
      <c r="L41" s="18"/>
      <c r="M41" s="18"/>
      <c r="N41" s="21"/>
      <c r="O41" s="26"/>
      <c r="P41" s="13" t="str">
        <f t="shared" si="0"/>
        <v/>
      </c>
    </row>
    <row r="42" spans="2:16" x14ac:dyDescent="0.25">
      <c r="B42" s="3" t="str">
        <f t="shared" si="1"/>
        <v/>
      </c>
      <c r="C42" s="18"/>
      <c r="D42" s="18"/>
      <c r="E42" s="10" t="str">
        <f>IF(C42="","",SUMIF(H:H,C42,J:J))</f>
        <v/>
      </c>
      <c r="F42" s="13" t="str">
        <f>IF(C42="","",SUMIF(L:L,C42,P:P))</f>
        <v/>
      </c>
      <c r="H42" s="15"/>
      <c r="I42" s="15"/>
      <c r="J42" s="41"/>
      <c r="L42" s="18"/>
      <c r="M42" s="18"/>
      <c r="N42" s="21"/>
      <c r="O42" s="26"/>
      <c r="P42" s="13" t="str">
        <f t="shared" si="0"/>
        <v/>
      </c>
    </row>
    <row r="43" spans="2:16" x14ac:dyDescent="0.25">
      <c r="B43" s="3" t="str">
        <f t="shared" si="1"/>
        <v/>
      </c>
      <c r="C43" s="18"/>
      <c r="D43" s="18"/>
      <c r="E43" s="10" t="str">
        <f>IF(C43="","",SUMIF(H:H,C43,J:J))</f>
        <v/>
      </c>
      <c r="F43" s="13" t="str">
        <f>IF(C43="","",SUMIF(L:L,C43,P:P))</f>
        <v/>
      </c>
      <c r="H43" s="15"/>
      <c r="I43" s="15"/>
      <c r="J43" s="41"/>
      <c r="L43" s="18"/>
      <c r="M43" s="18"/>
      <c r="N43" s="21"/>
      <c r="O43" s="26"/>
      <c r="P43" s="13" t="str">
        <f t="shared" si="0"/>
        <v/>
      </c>
    </row>
    <row r="44" spans="2:16" x14ac:dyDescent="0.25">
      <c r="B44" s="3" t="str">
        <f t="shared" si="1"/>
        <v/>
      </c>
      <c r="C44" s="18"/>
      <c r="D44" s="18"/>
      <c r="E44" s="10" t="str">
        <f>IF(C44="","",SUMIF(H:H,C44,J:J))</f>
        <v/>
      </c>
      <c r="F44" s="13" t="str">
        <f>IF(C44="","",SUMIF(L:L,C44,P:P))</f>
        <v/>
      </c>
      <c r="H44" s="15"/>
      <c r="I44" s="15"/>
      <c r="J44" s="41"/>
      <c r="L44" s="18"/>
      <c r="M44" s="18"/>
      <c r="N44" s="21"/>
      <c r="O44" s="26"/>
      <c r="P44" s="13" t="str">
        <f t="shared" si="0"/>
        <v/>
      </c>
    </row>
    <row r="45" spans="2:16" x14ac:dyDescent="0.25">
      <c r="B45" s="37" t="str">
        <f t="shared" si="1"/>
        <v/>
      </c>
      <c r="C45" s="38"/>
      <c r="D45" s="38"/>
      <c r="E45" s="39" t="str">
        <f>IF(C45="","",SUMIF(H:H,C45,J:J))</f>
        <v/>
      </c>
      <c r="F45" s="40" t="str">
        <f>IF(C45="","",SUMIF(L:L,C45,P:P))</f>
        <v/>
      </c>
      <c r="H45" s="15"/>
      <c r="I45" s="15"/>
      <c r="J45" s="41"/>
      <c r="L45" s="18"/>
      <c r="M45" s="18"/>
      <c r="N45" s="21"/>
      <c r="O45" s="26"/>
      <c r="P45" s="13" t="str">
        <f t="shared" si="0"/>
        <v/>
      </c>
    </row>
    <row r="46" spans="2:16" ht="15.75" thickBot="1" x14ac:dyDescent="0.3">
      <c r="B46" s="4" t="str">
        <f t="shared" si="1"/>
        <v/>
      </c>
      <c r="C46" s="19"/>
      <c r="D46" s="19"/>
      <c r="E46" s="11" t="str">
        <f>IF(C46="","",SUMIF(H:H,C46,J:J))</f>
        <v/>
      </c>
      <c r="F46" s="14" t="str">
        <f>IF(C46="","",SUMIF(L:L,C46,P:P))</f>
        <v/>
      </c>
      <c r="H46" s="15"/>
      <c r="I46" s="15"/>
      <c r="J46" s="41"/>
      <c r="L46" s="18"/>
      <c r="M46" s="18"/>
      <c r="N46" s="21"/>
      <c r="O46" s="26"/>
      <c r="P46" s="13" t="str">
        <f t="shared" si="0"/>
        <v/>
      </c>
    </row>
    <row r="47" spans="2:16" x14ac:dyDescent="0.25">
      <c r="H47" s="15"/>
      <c r="I47" s="15"/>
      <c r="J47" s="41"/>
      <c r="L47" s="18"/>
      <c r="M47" s="18"/>
      <c r="N47" s="21"/>
      <c r="O47" s="26"/>
      <c r="P47" s="13" t="str">
        <f t="shared" si="0"/>
        <v/>
      </c>
    </row>
    <row r="48" spans="2:16" x14ac:dyDescent="0.25">
      <c r="H48" s="15"/>
      <c r="I48" s="15"/>
      <c r="J48" s="41"/>
      <c r="L48" s="18"/>
      <c r="M48" s="18"/>
      <c r="N48" s="21"/>
      <c r="O48" s="26"/>
      <c r="P48" s="13" t="str">
        <f t="shared" si="0"/>
        <v/>
      </c>
    </row>
    <row r="49" spans="8:16" x14ac:dyDescent="0.25">
      <c r="H49" s="15"/>
      <c r="I49" s="15"/>
      <c r="J49" s="41"/>
      <c r="L49" s="18"/>
      <c r="M49" s="18"/>
      <c r="N49" s="21"/>
      <c r="O49" s="26"/>
      <c r="P49" s="13" t="str">
        <f t="shared" si="0"/>
        <v/>
      </c>
    </row>
    <row r="50" spans="8:16" x14ac:dyDescent="0.25">
      <c r="H50" s="15"/>
      <c r="I50" s="15"/>
      <c r="J50" s="41"/>
      <c r="L50" s="18"/>
      <c r="M50" s="18"/>
      <c r="N50" s="21"/>
      <c r="O50" s="26"/>
      <c r="P50" s="13" t="str">
        <f t="shared" si="0"/>
        <v/>
      </c>
    </row>
    <row r="51" spans="8:16" x14ac:dyDescent="0.25">
      <c r="H51" s="15"/>
      <c r="I51" s="15"/>
      <c r="J51" s="41"/>
      <c r="L51" s="18"/>
      <c r="M51" s="18"/>
      <c r="N51" s="21"/>
      <c r="O51" s="26"/>
      <c r="P51" s="13" t="str">
        <f t="shared" si="0"/>
        <v/>
      </c>
    </row>
    <row r="52" spans="8:16" x14ac:dyDescent="0.25">
      <c r="H52" s="15"/>
      <c r="I52" s="15"/>
      <c r="J52" s="41"/>
      <c r="L52" s="18"/>
      <c r="M52" s="18"/>
      <c r="N52" s="21"/>
      <c r="O52" s="26"/>
      <c r="P52" s="13" t="str">
        <f t="shared" si="0"/>
        <v/>
      </c>
    </row>
    <row r="53" spans="8:16" x14ac:dyDescent="0.25">
      <c r="H53" s="15"/>
      <c r="I53" s="15"/>
      <c r="J53" s="41"/>
      <c r="L53" s="18"/>
      <c r="M53" s="18"/>
      <c r="N53" s="21"/>
      <c r="O53" s="26"/>
      <c r="P53" s="13" t="str">
        <f t="shared" si="0"/>
        <v/>
      </c>
    </row>
    <row r="54" spans="8:16" x14ac:dyDescent="0.25">
      <c r="H54" s="15"/>
      <c r="I54" s="15"/>
      <c r="J54" s="41"/>
      <c r="L54" s="18"/>
      <c r="M54" s="18"/>
      <c r="N54" s="21"/>
      <c r="O54" s="26"/>
      <c r="P54" s="13" t="str">
        <f t="shared" si="0"/>
        <v/>
      </c>
    </row>
    <row r="55" spans="8:16" x14ac:dyDescent="0.25">
      <c r="H55" s="15"/>
      <c r="I55" s="15"/>
      <c r="J55" s="41"/>
      <c r="L55" s="18"/>
      <c r="M55" s="18"/>
      <c r="N55" s="21"/>
      <c r="O55" s="26"/>
      <c r="P55" s="13" t="str">
        <f t="shared" si="0"/>
        <v/>
      </c>
    </row>
    <row r="56" spans="8:16" x14ac:dyDescent="0.25">
      <c r="H56" s="15"/>
      <c r="I56" s="15"/>
      <c r="J56" s="41"/>
      <c r="L56" s="18"/>
      <c r="M56" s="18"/>
      <c r="N56" s="21"/>
      <c r="O56" s="26"/>
      <c r="P56" s="13" t="str">
        <f t="shared" si="0"/>
        <v/>
      </c>
    </row>
    <row r="57" spans="8:16" x14ac:dyDescent="0.25">
      <c r="H57" s="15"/>
      <c r="I57" s="15"/>
      <c r="J57" s="41"/>
      <c r="L57" s="18"/>
      <c r="M57" s="18"/>
      <c r="N57" s="21"/>
      <c r="O57" s="26"/>
      <c r="P57" s="13" t="str">
        <f t="shared" si="0"/>
        <v/>
      </c>
    </row>
    <row r="58" spans="8:16" x14ac:dyDescent="0.25">
      <c r="H58" s="15"/>
      <c r="I58" s="15"/>
      <c r="J58" s="41"/>
      <c r="L58" s="18"/>
      <c r="M58" s="18"/>
      <c r="N58" s="21"/>
      <c r="O58" s="26"/>
      <c r="P58" s="13" t="str">
        <f t="shared" si="0"/>
        <v/>
      </c>
    </row>
    <row r="59" spans="8:16" x14ac:dyDescent="0.25">
      <c r="H59" s="15"/>
      <c r="I59" s="15"/>
      <c r="J59" s="41"/>
      <c r="L59" s="18"/>
      <c r="M59" s="18"/>
      <c r="N59" s="21"/>
      <c r="O59" s="26"/>
      <c r="P59" s="13" t="str">
        <f t="shared" si="0"/>
        <v/>
      </c>
    </row>
    <row r="60" spans="8:16" x14ac:dyDescent="0.25">
      <c r="H60" s="15"/>
      <c r="I60" s="15"/>
      <c r="J60" s="41"/>
      <c r="L60" s="18"/>
      <c r="M60" s="18"/>
      <c r="N60" s="21"/>
      <c r="O60" s="26"/>
      <c r="P60" s="13" t="str">
        <f t="shared" si="0"/>
        <v/>
      </c>
    </row>
    <row r="61" spans="8:16" x14ac:dyDescent="0.25">
      <c r="H61" s="15"/>
      <c r="I61" s="15"/>
      <c r="J61" s="41"/>
      <c r="L61" s="18"/>
      <c r="M61" s="18"/>
      <c r="N61" s="21"/>
      <c r="O61" s="26"/>
      <c r="P61" s="13" t="str">
        <f t="shared" si="0"/>
        <v/>
      </c>
    </row>
    <row r="62" spans="8:16" x14ac:dyDescent="0.25">
      <c r="H62" s="15"/>
      <c r="I62" s="15"/>
      <c r="J62" s="41"/>
      <c r="L62" s="18"/>
      <c r="M62" s="18"/>
      <c r="N62" s="21"/>
      <c r="O62" s="26"/>
      <c r="P62" s="13" t="str">
        <f t="shared" si="0"/>
        <v/>
      </c>
    </row>
    <row r="63" spans="8:16" x14ac:dyDescent="0.25">
      <c r="H63" s="15"/>
      <c r="I63" s="15"/>
      <c r="J63" s="41"/>
      <c r="L63" s="18"/>
      <c r="M63" s="18"/>
      <c r="N63" s="21"/>
      <c r="O63" s="26"/>
      <c r="P63" s="13" t="str">
        <f t="shared" si="0"/>
        <v/>
      </c>
    </row>
    <row r="64" spans="8:16" x14ac:dyDescent="0.25">
      <c r="H64" s="15"/>
      <c r="I64" s="15"/>
      <c r="J64" s="41"/>
      <c r="L64" s="18"/>
      <c r="M64" s="18"/>
      <c r="N64" s="21"/>
      <c r="O64" s="26"/>
      <c r="P64" s="13" t="str">
        <f t="shared" si="0"/>
        <v/>
      </c>
    </row>
    <row r="65" spans="8:16" x14ac:dyDescent="0.25">
      <c r="H65" s="15"/>
      <c r="I65" s="15"/>
      <c r="J65" s="41"/>
      <c r="L65" s="18"/>
      <c r="M65" s="18"/>
      <c r="N65" s="21"/>
      <c r="O65" s="26"/>
      <c r="P65" s="13" t="str">
        <f t="shared" si="0"/>
        <v/>
      </c>
    </row>
    <row r="66" spans="8:16" x14ac:dyDescent="0.25">
      <c r="H66" s="15"/>
      <c r="I66" s="15"/>
      <c r="J66" s="41"/>
      <c r="L66" s="18"/>
      <c r="M66" s="18"/>
      <c r="N66" s="21"/>
      <c r="O66" s="26"/>
      <c r="P66" s="13" t="str">
        <f t="shared" si="0"/>
        <v/>
      </c>
    </row>
    <row r="67" spans="8:16" x14ac:dyDescent="0.25">
      <c r="H67" s="15"/>
      <c r="I67" s="15"/>
      <c r="J67" s="41"/>
      <c r="L67" s="18"/>
      <c r="M67" s="18"/>
      <c r="N67" s="21"/>
      <c r="O67" s="26"/>
      <c r="P67" s="13" t="str">
        <f t="shared" si="0"/>
        <v/>
      </c>
    </row>
    <row r="68" spans="8:16" x14ac:dyDescent="0.25">
      <c r="H68" s="15"/>
      <c r="I68" s="15"/>
      <c r="J68" s="41"/>
      <c r="L68" s="18"/>
      <c r="M68" s="18"/>
      <c r="N68" s="21"/>
      <c r="O68" s="26"/>
      <c r="P68" s="13" t="str">
        <f t="shared" si="0"/>
        <v/>
      </c>
    </row>
    <row r="69" spans="8:16" x14ac:dyDescent="0.25">
      <c r="H69" s="15"/>
      <c r="I69" s="15"/>
      <c r="J69" s="41"/>
      <c r="L69" s="18"/>
      <c r="M69" s="18"/>
      <c r="N69" s="21"/>
      <c r="O69" s="26"/>
      <c r="P69" s="13" t="str">
        <f t="shared" si="0"/>
        <v/>
      </c>
    </row>
    <row r="70" spans="8:16" x14ac:dyDescent="0.25">
      <c r="H70" s="15"/>
      <c r="I70" s="15"/>
      <c r="J70" s="41"/>
      <c r="L70" s="18"/>
      <c r="M70" s="18"/>
      <c r="N70" s="21"/>
      <c r="O70" s="26"/>
      <c r="P70" s="13" t="str">
        <f t="shared" si="0"/>
        <v/>
      </c>
    </row>
    <row r="71" spans="8:16" x14ac:dyDescent="0.25">
      <c r="H71" s="15"/>
      <c r="I71" s="15"/>
      <c r="J71" s="41"/>
      <c r="L71" s="18"/>
      <c r="M71" s="18"/>
      <c r="N71" s="21"/>
      <c r="O71" s="26"/>
      <c r="P71" s="13" t="str">
        <f t="shared" si="0"/>
        <v/>
      </c>
    </row>
    <row r="72" spans="8:16" x14ac:dyDescent="0.25">
      <c r="H72" s="15"/>
      <c r="I72" s="15"/>
      <c r="J72" s="41"/>
      <c r="L72" s="18"/>
      <c r="M72" s="18"/>
      <c r="N72" s="21"/>
      <c r="O72" s="26"/>
      <c r="P72" s="13" t="str">
        <f t="shared" ref="P72:P105" si="2">IF(L72="","",N72*(O72+1))</f>
        <v/>
      </c>
    </row>
    <row r="73" spans="8:16" x14ac:dyDescent="0.25">
      <c r="H73" s="15"/>
      <c r="I73" s="15"/>
      <c r="J73" s="41"/>
      <c r="L73" s="18"/>
      <c r="M73" s="18"/>
      <c r="N73" s="21"/>
      <c r="O73" s="26"/>
      <c r="P73" s="13" t="str">
        <f t="shared" si="2"/>
        <v/>
      </c>
    </row>
    <row r="74" spans="8:16" x14ac:dyDescent="0.25">
      <c r="H74" s="15"/>
      <c r="I74" s="15"/>
      <c r="J74" s="41"/>
      <c r="L74" s="18"/>
      <c r="M74" s="18"/>
      <c r="N74" s="21"/>
      <c r="O74" s="26"/>
      <c r="P74" s="13" t="str">
        <f t="shared" si="2"/>
        <v/>
      </c>
    </row>
    <row r="75" spans="8:16" x14ac:dyDescent="0.25">
      <c r="H75" s="15"/>
      <c r="I75" s="15"/>
      <c r="J75" s="41"/>
      <c r="L75" s="18"/>
      <c r="M75" s="18"/>
      <c r="N75" s="21"/>
      <c r="O75" s="26"/>
      <c r="P75" s="13" t="str">
        <f t="shared" si="2"/>
        <v/>
      </c>
    </row>
    <row r="76" spans="8:16" x14ac:dyDescent="0.25">
      <c r="H76" s="15"/>
      <c r="I76" s="15"/>
      <c r="J76" s="41"/>
      <c r="L76" s="18"/>
      <c r="M76" s="18"/>
      <c r="N76" s="21"/>
      <c r="O76" s="26"/>
      <c r="P76" s="13" t="str">
        <f t="shared" si="2"/>
        <v/>
      </c>
    </row>
    <row r="77" spans="8:16" x14ac:dyDescent="0.25">
      <c r="H77" s="15"/>
      <c r="I77" s="15"/>
      <c r="J77" s="41"/>
      <c r="L77" s="18"/>
      <c r="M77" s="18"/>
      <c r="N77" s="21"/>
      <c r="O77" s="26"/>
      <c r="P77" s="13" t="str">
        <f t="shared" si="2"/>
        <v/>
      </c>
    </row>
    <row r="78" spans="8:16" x14ac:dyDescent="0.25">
      <c r="H78" s="15"/>
      <c r="I78" s="15"/>
      <c r="J78" s="41"/>
      <c r="L78" s="18"/>
      <c r="M78" s="18"/>
      <c r="N78" s="21"/>
      <c r="O78" s="26"/>
      <c r="P78" s="13" t="str">
        <f t="shared" si="2"/>
        <v/>
      </c>
    </row>
    <row r="79" spans="8:16" x14ac:dyDescent="0.25">
      <c r="H79" s="15"/>
      <c r="I79" s="15"/>
      <c r="J79" s="41"/>
      <c r="L79" s="18"/>
      <c r="M79" s="18"/>
      <c r="N79" s="21"/>
      <c r="O79" s="26"/>
      <c r="P79" s="13" t="str">
        <f t="shared" si="2"/>
        <v/>
      </c>
    </row>
    <row r="80" spans="8:16" x14ac:dyDescent="0.25">
      <c r="H80" s="15"/>
      <c r="I80" s="15"/>
      <c r="J80" s="41"/>
      <c r="L80" s="18"/>
      <c r="M80" s="18"/>
      <c r="N80" s="21"/>
      <c r="O80" s="26"/>
      <c r="P80" s="13" t="str">
        <f t="shared" si="2"/>
        <v/>
      </c>
    </row>
    <row r="81" spans="8:16" x14ac:dyDescent="0.25">
      <c r="H81" s="15"/>
      <c r="I81" s="15"/>
      <c r="J81" s="41"/>
      <c r="L81" s="18"/>
      <c r="M81" s="18"/>
      <c r="N81" s="21"/>
      <c r="O81" s="26"/>
      <c r="P81" s="13" t="str">
        <f t="shared" si="2"/>
        <v/>
      </c>
    </row>
    <row r="82" spans="8:16" x14ac:dyDescent="0.25">
      <c r="H82" s="15"/>
      <c r="I82" s="15"/>
      <c r="J82" s="41"/>
      <c r="L82" s="18"/>
      <c r="M82" s="18"/>
      <c r="N82" s="21"/>
      <c r="O82" s="26"/>
      <c r="P82" s="13" t="str">
        <f t="shared" si="2"/>
        <v/>
      </c>
    </row>
    <row r="83" spans="8:16" x14ac:dyDescent="0.25">
      <c r="H83" s="15"/>
      <c r="I83" s="15"/>
      <c r="J83" s="41"/>
      <c r="L83" s="18"/>
      <c r="M83" s="18"/>
      <c r="N83" s="21"/>
      <c r="O83" s="26"/>
      <c r="P83" s="13" t="str">
        <f t="shared" si="2"/>
        <v/>
      </c>
    </row>
    <row r="84" spans="8:16" x14ac:dyDescent="0.25">
      <c r="H84" s="15"/>
      <c r="I84" s="15"/>
      <c r="J84" s="41"/>
      <c r="L84" s="18"/>
      <c r="M84" s="18"/>
      <c r="N84" s="21"/>
      <c r="O84" s="26"/>
      <c r="P84" s="13" t="str">
        <f t="shared" si="2"/>
        <v/>
      </c>
    </row>
    <row r="85" spans="8:16" x14ac:dyDescent="0.25">
      <c r="H85" s="15"/>
      <c r="I85" s="15"/>
      <c r="J85" s="41"/>
      <c r="L85" s="18"/>
      <c r="M85" s="18"/>
      <c r="N85" s="21"/>
      <c r="O85" s="26"/>
      <c r="P85" s="13" t="str">
        <f t="shared" si="2"/>
        <v/>
      </c>
    </row>
    <row r="86" spans="8:16" x14ac:dyDescent="0.25">
      <c r="H86" s="15"/>
      <c r="I86" s="15"/>
      <c r="J86" s="41"/>
      <c r="L86" s="18"/>
      <c r="M86" s="18"/>
      <c r="N86" s="21"/>
      <c r="O86" s="26"/>
      <c r="P86" s="13" t="str">
        <f t="shared" si="2"/>
        <v/>
      </c>
    </row>
    <row r="87" spans="8:16" x14ac:dyDescent="0.25">
      <c r="H87" s="15"/>
      <c r="I87" s="15"/>
      <c r="J87" s="41"/>
      <c r="L87" s="18"/>
      <c r="M87" s="18"/>
      <c r="N87" s="21"/>
      <c r="O87" s="26"/>
      <c r="P87" s="13" t="str">
        <f t="shared" si="2"/>
        <v/>
      </c>
    </row>
    <row r="88" spans="8:16" x14ac:dyDescent="0.25">
      <c r="H88" s="15"/>
      <c r="I88" s="15"/>
      <c r="J88" s="41"/>
      <c r="L88" s="18"/>
      <c r="M88" s="18"/>
      <c r="N88" s="21"/>
      <c r="O88" s="26"/>
      <c r="P88" s="13" t="str">
        <f t="shared" si="2"/>
        <v/>
      </c>
    </row>
    <row r="89" spans="8:16" x14ac:dyDescent="0.25">
      <c r="H89" s="15"/>
      <c r="I89" s="15"/>
      <c r="J89" s="41"/>
      <c r="L89" s="18"/>
      <c r="M89" s="18"/>
      <c r="N89" s="21"/>
      <c r="O89" s="26"/>
      <c r="P89" s="13" t="str">
        <f t="shared" si="2"/>
        <v/>
      </c>
    </row>
    <row r="90" spans="8:16" x14ac:dyDescent="0.25">
      <c r="H90" s="15"/>
      <c r="I90" s="15"/>
      <c r="J90" s="41"/>
      <c r="L90" s="18"/>
      <c r="M90" s="18"/>
      <c r="N90" s="21"/>
      <c r="O90" s="26"/>
      <c r="P90" s="13" t="str">
        <f t="shared" si="2"/>
        <v/>
      </c>
    </row>
    <row r="91" spans="8:16" x14ac:dyDescent="0.25">
      <c r="H91" s="15"/>
      <c r="I91" s="15"/>
      <c r="J91" s="41"/>
      <c r="L91" s="18"/>
      <c r="M91" s="18"/>
      <c r="N91" s="21"/>
      <c r="O91" s="26"/>
      <c r="P91" s="13" t="str">
        <f t="shared" si="2"/>
        <v/>
      </c>
    </row>
    <row r="92" spans="8:16" x14ac:dyDescent="0.25">
      <c r="H92" s="15"/>
      <c r="I92" s="15"/>
      <c r="J92" s="41"/>
      <c r="L92" s="18"/>
      <c r="M92" s="18"/>
      <c r="N92" s="21"/>
      <c r="O92" s="26"/>
      <c r="P92" s="13" t="str">
        <f t="shared" si="2"/>
        <v/>
      </c>
    </row>
    <row r="93" spans="8:16" x14ac:dyDescent="0.25">
      <c r="H93" s="15"/>
      <c r="I93" s="15"/>
      <c r="J93" s="41"/>
      <c r="L93" s="18"/>
      <c r="M93" s="18"/>
      <c r="N93" s="21"/>
      <c r="O93" s="26"/>
      <c r="P93" s="13" t="str">
        <f t="shared" si="2"/>
        <v/>
      </c>
    </row>
    <row r="94" spans="8:16" x14ac:dyDescent="0.25">
      <c r="H94" s="15"/>
      <c r="I94" s="15"/>
      <c r="J94" s="41"/>
      <c r="L94" s="18"/>
      <c r="M94" s="18"/>
      <c r="N94" s="21"/>
      <c r="O94" s="26"/>
      <c r="P94" s="13" t="str">
        <f t="shared" si="2"/>
        <v/>
      </c>
    </row>
    <row r="95" spans="8:16" x14ac:dyDescent="0.25">
      <c r="H95" s="15"/>
      <c r="I95" s="15"/>
      <c r="J95" s="41"/>
      <c r="L95" s="18"/>
      <c r="M95" s="18"/>
      <c r="N95" s="21"/>
      <c r="O95" s="26"/>
      <c r="P95" s="13" t="str">
        <f t="shared" si="2"/>
        <v/>
      </c>
    </row>
    <row r="96" spans="8:16" x14ac:dyDescent="0.25">
      <c r="H96" s="15"/>
      <c r="I96" s="15"/>
      <c r="J96" s="41"/>
      <c r="L96" s="18"/>
      <c r="M96" s="18"/>
      <c r="N96" s="21"/>
      <c r="O96" s="26"/>
      <c r="P96" s="13" t="str">
        <f t="shared" si="2"/>
        <v/>
      </c>
    </row>
    <row r="97" spans="8:16" x14ac:dyDescent="0.25">
      <c r="H97" s="15"/>
      <c r="I97" s="15"/>
      <c r="J97" s="41"/>
      <c r="L97" s="18"/>
      <c r="M97" s="18"/>
      <c r="N97" s="21"/>
      <c r="O97" s="26"/>
      <c r="P97" s="13" t="str">
        <f t="shared" si="2"/>
        <v/>
      </c>
    </row>
    <row r="98" spans="8:16" x14ac:dyDescent="0.25">
      <c r="H98" s="15"/>
      <c r="I98" s="15"/>
      <c r="J98" s="41"/>
      <c r="L98" s="18"/>
      <c r="M98" s="18"/>
      <c r="N98" s="21"/>
      <c r="O98" s="26"/>
      <c r="P98" s="13" t="str">
        <f t="shared" si="2"/>
        <v/>
      </c>
    </row>
    <row r="99" spans="8:16" x14ac:dyDescent="0.25">
      <c r="H99" s="15"/>
      <c r="I99" s="15"/>
      <c r="J99" s="41"/>
      <c r="L99" s="18"/>
      <c r="M99" s="18"/>
      <c r="N99" s="21"/>
      <c r="O99" s="26"/>
      <c r="P99" s="13" t="str">
        <f t="shared" si="2"/>
        <v/>
      </c>
    </row>
    <row r="100" spans="8:16" x14ac:dyDescent="0.25">
      <c r="H100" s="15"/>
      <c r="I100" s="15"/>
      <c r="J100" s="41"/>
      <c r="L100" s="18"/>
      <c r="M100" s="18"/>
      <c r="N100" s="21"/>
      <c r="O100" s="26"/>
      <c r="P100" s="13" t="str">
        <f t="shared" si="2"/>
        <v/>
      </c>
    </row>
    <row r="101" spans="8:16" x14ac:dyDescent="0.25">
      <c r="H101" s="15"/>
      <c r="I101" s="15"/>
      <c r="J101" s="41"/>
      <c r="L101" s="18"/>
      <c r="M101" s="18"/>
      <c r="N101" s="21"/>
      <c r="O101" s="26"/>
      <c r="P101" s="13" t="str">
        <f t="shared" si="2"/>
        <v/>
      </c>
    </row>
    <row r="102" spans="8:16" x14ac:dyDescent="0.25">
      <c r="H102" s="15"/>
      <c r="I102" s="15"/>
      <c r="J102" s="41"/>
      <c r="L102" s="18"/>
      <c r="M102" s="18"/>
      <c r="N102" s="21"/>
      <c r="O102" s="26"/>
      <c r="P102" s="13" t="str">
        <f t="shared" si="2"/>
        <v/>
      </c>
    </row>
    <row r="103" spans="8:16" x14ac:dyDescent="0.25">
      <c r="H103" s="15"/>
      <c r="I103" s="15"/>
      <c r="J103" s="41"/>
      <c r="L103" s="18"/>
      <c r="M103" s="18"/>
      <c r="N103" s="21"/>
      <c r="O103" s="26"/>
      <c r="P103" s="13" t="str">
        <f t="shared" si="2"/>
        <v/>
      </c>
    </row>
    <row r="104" spans="8:16" x14ac:dyDescent="0.25">
      <c r="H104" s="15"/>
      <c r="I104" s="15"/>
      <c r="J104" s="41"/>
      <c r="L104" s="18"/>
      <c r="M104" s="18"/>
      <c r="N104" s="21"/>
      <c r="O104" s="26"/>
      <c r="P104" s="13" t="str">
        <f t="shared" si="2"/>
        <v/>
      </c>
    </row>
    <row r="105" spans="8:16" ht="15.75" thickBot="1" x14ac:dyDescent="0.3">
      <c r="H105" s="16"/>
      <c r="I105" s="16"/>
      <c r="J105" s="42"/>
      <c r="L105" s="19"/>
      <c r="M105" s="19"/>
      <c r="N105" s="22"/>
      <c r="O105" s="27"/>
      <c r="P105" s="14" t="str">
        <f t="shared" si="2"/>
        <v/>
      </c>
    </row>
  </sheetData>
  <mergeCells count="3">
    <mergeCell ref="B4:C4"/>
    <mergeCell ref="B2:C2"/>
    <mergeCell ref="E2:F2"/>
  </mergeCells>
  <dataValidations count="2">
    <dataValidation type="list" allowBlank="1" showInputMessage="1" showErrorMessage="1" sqref="L7:L105 H7:H105" xr:uid="{84A39945-5F44-4A2D-9CC3-908F854AADFC}">
      <formula1>$C$7:$C$45</formula1>
    </dataValidation>
    <dataValidation type="list" allowBlank="1" showInputMessage="1" showErrorMessage="1" sqref="D7:D46" xr:uid="{17EA2D89-70DD-4453-93C0-4E03E450A356}">
      <formula1>"Yes,No"</formula1>
    </dataValidation>
  </dataValidations>
  <pageMargins left="0.7" right="0.7" top="0.75" bottom="0.75" header="0.3" footer="0.3"/>
  <pageSetup paperSize="9" orientation="portrait" r:id="rId1"/>
  <headerFooter>
    <oddHeader>&amp;C </oddHeader>
    <oddFooter>&amp;C </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9268255-EA00-4192-89E2-A8B370932ED5}">
          <x14:formula1>
            <xm:f>References!$A$2:$A$42</xm:f>
          </x14:formula1>
          <xm:sqref>O7:O105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0EBC2-52F1-4CE1-A3A5-0FF4D275C1F6}">
  <sheetPr>
    <tabColor rgb="FF0070C0"/>
  </sheetPr>
  <dimension ref="A1:L56"/>
  <sheetViews>
    <sheetView showGridLines="0" tabSelected="1" workbookViewId="0"/>
  </sheetViews>
  <sheetFormatPr defaultRowHeight="15" x14ac:dyDescent="0.25"/>
  <cols>
    <col min="1" max="1" width="2.7109375" customWidth="1"/>
    <col min="2" max="2" width="10.85546875" customWidth="1"/>
    <col min="3" max="3" width="45.28515625" customWidth="1"/>
    <col min="4" max="4" width="9.7109375" customWidth="1"/>
    <col min="5" max="5" width="16.42578125" customWidth="1"/>
    <col min="6" max="6" width="2.7109375" customWidth="1"/>
    <col min="7" max="7" width="28.5703125" customWidth="1"/>
    <col min="8" max="8" width="38.85546875" customWidth="1"/>
    <col min="9" max="9" width="18.28515625" customWidth="1"/>
    <col min="11" max="12" width="0" hidden="1" customWidth="1"/>
  </cols>
  <sheetData>
    <row r="1" spans="1:12" ht="15.75" customHeight="1" x14ac:dyDescent="0.25"/>
    <row r="2" spans="1:12" ht="24.75" thickBot="1" x14ac:dyDescent="0.3">
      <c r="G2" s="96" t="s">
        <v>103</v>
      </c>
      <c r="H2" s="96"/>
      <c r="I2" s="96"/>
      <c r="K2" t="s">
        <v>95</v>
      </c>
      <c r="L2">
        <f>Works!E2-Works!F4</f>
        <v>10325</v>
      </c>
    </row>
    <row r="3" spans="1:12" ht="15.75" thickBot="1" x14ac:dyDescent="0.3">
      <c r="C3" s="107" t="s">
        <v>98</v>
      </c>
      <c r="D3" s="107"/>
      <c r="E3" s="59" t="s">
        <v>69</v>
      </c>
      <c r="G3" s="111" t="s">
        <v>0</v>
      </c>
      <c r="H3" s="112" t="s">
        <v>3</v>
      </c>
      <c r="I3" s="94" t="s">
        <v>1</v>
      </c>
      <c r="K3" t="s">
        <v>1</v>
      </c>
      <c r="L3">
        <f>Works!E4</f>
        <v>14.75</v>
      </c>
    </row>
    <row r="4" spans="1:12" x14ac:dyDescent="0.25">
      <c r="C4" s="108" t="s">
        <v>99</v>
      </c>
      <c r="D4" s="108"/>
      <c r="E4" s="28" t="s">
        <v>72</v>
      </c>
      <c r="G4" s="114" t="s">
        <v>6</v>
      </c>
      <c r="H4" s="114" t="s">
        <v>16</v>
      </c>
      <c r="I4" s="86">
        <v>1</v>
      </c>
    </row>
    <row r="5" spans="1:12" x14ac:dyDescent="0.25">
      <c r="C5" s="107" t="s">
        <v>100</v>
      </c>
      <c r="D5" s="107"/>
      <c r="E5" s="28" t="s">
        <v>73</v>
      </c>
      <c r="G5" s="115" t="s">
        <v>6</v>
      </c>
      <c r="H5" s="115" t="s">
        <v>17</v>
      </c>
      <c r="I5" s="67">
        <v>0.5</v>
      </c>
      <c r="K5" t="s">
        <v>96</v>
      </c>
      <c r="L5">
        <f>L2/L3</f>
        <v>700</v>
      </c>
    </row>
    <row r="6" spans="1:12" x14ac:dyDescent="0.25">
      <c r="E6" s="28" t="s">
        <v>66</v>
      </c>
      <c r="G6" s="115" t="s">
        <v>7</v>
      </c>
      <c r="H6" s="115" t="s">
        <v>18</v>
      </c>
      <c r="I6" s="67">
        <v>1</v>
      </c>
    </row>
    <row r="7" spans="1:12" x14ac:dyDescent="0.25">
      <c r="B7" s="58" t="s">
        <v>76</v>
      </c>
      <c r="C7" s="90" t="str">
        <f ca="1">Customer!C2</f>
        <v>JH-20260428-01</v>
      </c>
      <c r="E7" s="28" t="s">
        <v>74</v>
      </c>
      <c r="G7" s="115" t="s">
        <v>7</v>
      </c>
      <c r="H7" s="115" t="s">
        <v>19</v>
      </c>
      <c r="I7" s="67">
        <v>0.5</v>
      </c>
    </row>
    <row r="8" spans="1:12" x14ac:dyDescent="0.25">
      <c r="B8" s="58" t="s">
        <v>79</v>
      </c>
      <c r="C8" s="81" t="str">
        <f>Customer!C4&amp;" "&amp;Customer!F4</f>
        <v>Justin Heath</v>
      </c>
      <c r="E8" s="28"/>
      <c r="G8" s="115" t="s">
        <v>7</v>
      </c>
      <c r="H8" s="115" t="s">
        <v>20</v>
      </c>
      <c r="I8" s="67">
        <v>1</v>
      </c>
    </row>
    <row r="9" spans="1:12" x14ac:dyDescent="0.25">
      <c r="B9" s="58" t="s">
        <v>77</v>
      </c>
      <c r="C9" s="93">
        <f ca="1">TODAY()</f>
        <v>46140</v>
      </c>
      <c r="E9" s="59" t="s">
        <v>71</v>
      </c>
      <c r="G9" s="115" t="s">
        <v>8</v>
      </c>
      <c r="H9" s="115" t="s">
        <v>21</v>
      </c>
      <c r="I9" s="67">
        <v>0.25</v>
      </c>
    </row>
    <row r="10" spans="1:12" x14ac:dyDescent="0.25">
      <c r="B10" s="58" t="s">
        <v>80</v>
      </c>
      <c r="C10" s="81" t="str">
        <f>Customer!C8</f>
        <v>4 Warrendale Court</v>
      </c>
      <c r="E10" s="60" t="s">
        <v>70</v>
      </c>
      <c r="G10" s="115" t="s">
        <v>8</v>
      </c>
      <c r="H10" s="115" t="s">
        <v>22</v>
      </c>
      <c r="I10" s="67">
        <v>0.5</v>
      </c>
    </row>
    <row r="11" spans="1:12" ht="37.5" customHeight="1" x14ac:dyDescent="0.25">
      <c r="B11" s="92" t="s">
        <v>75</v>
      </c>
      <c r="C11" s="92"/>
      <c r="D11" s="92"/>
      <c r="E11" s="92"/>
      <c r="F11" s="91"/>
      <c r="G11" s="115" t="s">
        <v>8</v>
      </c>
      <c r="H11" s="115" t="s">
        <v>23</v>
      </c>
      <c r="I11" s="67">
        <v>0.5</v>
      </c>
    </row>
    <row r="12" spans="1:12" ht="24" x14ac:dyDescent="0.4">
      <c r="B12" s="73">
        <f>ROUND(Works!E4/5,1)</f>
        <v>3</v>
      </c>
      <c r="C12" s="74"/>
      <c r="D12" s="74"/>
      <c r="E12" s="75"/>
      <c r="G12" s="67" t="s">
        <v>9</v>
      </c>
      <c r="H12" s="67" t="s">
        <v>44</v>
      </c>
      <c r="I12" s="67">
        <v>1</v>
      </c>
    </row>
    <row r="13" spans="1:12" ht="24" customHeight="1" x14ac:dyDescent="0.4">
      <c r="A13" s="66"/>
      <c r="B13" s="76">
        <f>Works!E2</f>
        <v>16425</v>
      </c>
      <c r="C13" s="77"/>
      <c r="D13" s="77"/>
      <c r="E13" s="78"/>
      <c r="F13" s="66"/>
      <c r="G13" s="67" t="s">
        <v>9</v>
      </c>
      <c r="H13" s="67" t="s">
        <v>24</v>
      </c>
      <c r="I13" s="67">
        <v>0.5</v>
      </c>
    </row>
    <row r="14" spans="1:12" x14ac:dyDescent="0.25">
      <c r="A14" s="97"/>
      <c r="B14" s="98" t="str">
        <f>"Based on "&amp;Works!I4&amp;" Builder"&amp;IF(OR(Works!M4="", Works!M4=0),"."," &amp; "&amp;Works!M4&amp;" Labourer.")</f>
        <v>Based on 1 Builder &amp; 1 Labourer.</v>
      </c>
      <c r="C14" s="98"/>
      <c r="D14" s="98"/>
      <c r="E14" s="98"/>
      <c r="F14" s="97"/>
      <c r="G14" s="67" t="s">
        <v>9</v>
      </c>
      <c r="H14" s="67" t="s">
        <v>25</v>
      </c>
      <c r="I14" s="67">
        <v>0.5</v>
      </c>
    </row>
    <row r="15" spans="1:12" x14ac:dyDescent="0.25">
      <c r="G15" s="67" t="s">
        <v>9</v>
      </c>
      <c r="H15" s="67" t="s">
        <v>26</v>
      </c>
      <c r="I15" s="67">
        <v>1</v>
      </c>
    </row>
    <row r="16" spans="1:12" ht="24.75" thickBot="1" x14ac:dyDescent="0.3">
      <c r="A16" s="91"/>
      <c r="B16" s="96" t="s">
        <v>78</v>
      </c>
      <c r="C16" s="96"/>
      <c r="D16" s="96"/>
      <c r="E16" s="96"/>
      <c r="F16" s="91"/>
      <c r="G16" s="67" t="s">
        <v>10</v>
      </c>
      <c r="H16" s="67" t="s">
        <v>29</v>
      </c>
      <c r="I16" s="67">
        <v>0.5</v>
      </c>
    </row>
    <row r="17" spans="2:9" ht="15.75" thickBot="1" x14ac:dyDescent="0.3">
      <c r="B17" s="82" t="s">
        <v>0</v>
      </c>
      <c r="C17" s="83"/>
      <c r="D17" s="94" t="s">
        <v>1</v>
      </c>
      <c r="E17" s="95" t="s">
        <v>2</v>
      </c>
      <c r="G17" s="67" t="s">
        <v>10</v>
      </c>
      <c r="H17" s="67" t="s">
        <v>28</v>
      </c>
      <c r="I17" s="67">
        <v>0.5</v>
      </c>
    </row>
    <row r="18" spans="2:9" x14ac:dyDescent="0.25">
      <c r="B18" s="84" t="s">
        <v>6</v>
      </c>
      <c r="C18" s="85"/>
      <c r="D18" s="86">
        <v>1.5</v>
      </c>
      <c r="E18" s="87">
        <v>100</v>
      </c>
      <c r="G18" s="67" t="s">
        <v>10</v>
      </c>
      <c r="H18" s="67" t="s">
        <v>27</v>
      </c>
      <c r="I18" s="67">
        <v>0.5</v>
      </c>
    </row>
    <row r="19" spans="2:9" x14ac:dyDescent="0.25">
      <c r="B19" s="79" t="s">
        <v>7</v>
      </c>
      <c r="C19" s="80"/>
      <c r="D19" s="67">
        <v>2.5</v>
      </c>
      <c r="E19" s="68">
        <v>1530</v>
      </c>
      <c r="G19" s="67" t="s">
        <v>10</v>
      </c>
      <c r="H19" s="67" t="s">
        <v>30</v>
      </c>
      <c r="I19" s="67">
        <v>0.5</v>
      </c>
    </row>
    <row r="20" spans="2:9" x14ac:dyDescent="0.25">
      <c r="B20" s="79" t="s">
        <v>8</v>
      </c>
      <c r="C20" s="80"/>
      <c r="D20" s="67">
        <v>1.25</v>
      </c>
      <c r="E20" s="68">
        <v>600</v>
      </c>
      <c r="G20" s="67" t="s">
        <v>11</v>
      </c>
      <c r="H20" s="67" t="s">
        <v>31</v>
      </c>
      <c r="I20" s="67">
        <v>1</v>
      </c>
    </row>
    <row r="21" spans="2:9" x14ac:dyDescent="0.25">
      <c r="B21" s="79" t="s">
        <v>9</v>
      </c>
      <c r="C21" s="80"/>
      <c r="D21" s="67">
        <v>3</v>
      </c>
      <c r="E21" s="68">
        <v>1380</v>
      </c>
      <c r="G21" s="67" t="s">
        <v>32</v>
      </c>
      <c r="H21" s="67" t="s">
        <v>33</v>
      </c>
      <c r="I21" s="67">
        <v>1</v>
      </c>
    </row>
    <row r="22" spans="2:9" x14ac:dyDescent="0.25">
      <c r="B22" s="79" t="s">
        <v>10</v>
      </c>
      <c r="C22" s="80"/>
      <c r="D22" s="67">
        <v>2</v>
      </c>
      <c r="E22" s="68">
        <v>1650.0000000000002</v>
      </c>
      <c r="G22" s="67" t="s">
        <v>32</v>
      </c>
      <c r="H22" s="67" t="s">
        <v>34</v>
      </c>
      <c r="I22" s="67">
        <v>0.5</v>
      </c>
    </row>
    <row r="23" spans="2:9" x14ac:dyDescent="0.25">
      <c r="B23" s="79" t="s">
        <v>11</v>
      </c>
      <c r="C23" s="80"/>
      <c r="D23" s="67">
        <v>1</v>
      </c>
      <c r="E23" s="68">
        <v>540</v>
      </c>
      <c r="G23" s="67" t="s">
        <v>32</v>
      </c>
      <c r="H23" s="67" t="s">
        <v>35</v>
      </c>
      <c r="I23" s="67">
        <v>1</v>
      </c>
    </row>
    <row r="24" spans="2:9" ht="15.75" thickBot="1" x14ac:dyDescent="0.3">
      <c r="B24" s="79" t="s">
        <v>32</v>
      </c>
      <c r="C24" s="80"/>
      <c r="D24" s="67">
        <v>2.5</v>
      </c>
      <c r="E24" s="68">
        <v>300</v>
      </c>
      <c r="G24" s="69" t="s">
        <v>86</v>
      </c>
      <c r="H24" s="69" t="s">
        <v>87</v>
      </c>
      <c r="I24" s="69">
        <v>1</v>
      </c>
    </row>
    <row r="25" spans="2:9" ht="15.75" thickBot="1" x14ac:dyDescent="0.3">
      <c r="B25" s="88" t="s">
        <v>86</v>
      </c>
      <c r="C25" s="89"/>
      <c r="D25" s="69">
        <v>1</v>
      </c>
      <c r="E25" s="70">
        <v>0</v>
      </c>
    </row>
    <row r="26" spans="2:9" ht="15.75" thickBot="1" x14ac:dyDescent="0.3">
      <c r="E26" s="6"/>
      <c r="G26" s="71" t="s">
        <v>89</v>
      </c>
      <c r="H26" s="113"/>
      <c r="I26" s="71">
        <f>SUM(I4:I25)</f>
        <v>14.75</v>
      </c>
    </row>
    <row r="27" spans="2:9" ht="16.5" thickTop="1" thickBot="1" x14ac:dyDescent="0.3">
      <c r="B27" s="71" t="s">
        <v>89</v>
      </c>
      <c r="C27" s="71"/>
      <c r="D27" s="71">
        <f>SUM(D18:D26)</f>
        <v>14.75</v>
      </c>
      <c r="E27" s="72">
        <f>SUM(E18:E26)</f>
        <v>6100</v>
      </c>
    </row>
    <row r="28" spans="2:9" ht="16.5" customHeight="1" thickTop="1" x14ac:dyDescent="0.25">
      <c r="G28" s="110" t="s">
        <v>104</v>
      </c>
      <c r="H28" s="110"/>
      <c r="I28" s="110"/>
    </row>
    <row r="29" spans="2:9" ht="24.75" thickBot="1" x14ac:dyDescent="0.3">
      <c r="B29" s="96" t="s">
        <v>92</v>
      </c>
      <c r="C29" s="96"/>
      <c r="D29" s="96"/>
      <c r="E29" s="96"/>
      <c r="G29" s="110"/>
      <c r="H29" s="110"/>
      <c r="I29" s="110"/>
    </row>
    <row r="30" spans="2:9" ht="15.75" thickBot="1" x14ac:dyDescent="0.3">
      <c r="B30" s="82" t="s">
        <v>93</v>
      </c>
      <c r="C30" s="83"/>
      <c r="D30" s="94" t="s">
        <v>94</v>
      </c>
      <c r="E30" s="95" t="s">
        <v>2</v>
      </c>
    </row>
    <row r="31" spans="2:9" x14ac:dyDescent="0.25">
      <c r="B31" s="100" t="s">
        <v>4</v>
      </c>
      <c r="C31" s="100"/>
      <c r="D31" s="86">
        <v>0</v>
      </c>
      <c r="E31" s="87">
        <f>Works!F4</f>
        <v>6100</v>
      </c>
    </row>
    <row r="32" spans="2:9" x14ac:dyDescent="0.25">
      <c r="B32" s="101" t="str">
        <f>Works!C7&amp;", "&amp;Works!C8</f>
        <v>Footings, Block work</v>
      </c>
      <c r="C32" s="101"/>
      <c r="D32" s="67">
        <f>SUM(Works!E7:E8)</f>
        <v>4</v>
      </c>
      <c r="E32" s="68">
        <f>(D32-D31)*$L$5</f>
        <v>2800</v>
      </c>
    </row>
    <row r="33" spans="2:5" x14ac:dyDescent="0.25">
      <c r="B33" s="101" t="str">
        <f>Works!C9</f>
        <v>Steals</v>
      </c>
      <c r="C33" s="101"/>
      <c r="D33" s="67">
        <f>SUM(Works!E7:E9)</f>
        <v>6</v>
      </c>
      <c r="E33" s="68">
        <f>(D33-D32)*$L$5</f>
        <v>1400</v>
      </c>
    </row>
    <row r="34" spans="2:5" x14ac:dyDescent="0.25">
      <c r="B34" s="101" t="str">
        <f>Works!C10&amp;", "&amp;Works!C11</f>
        <v>Roof, Window</v>
      </c>
      <c r="C34" s="101"/>
      <c r="D34" s="67">
        <f>SUM(Works!E7:E11)</f>
        <v>10.25</v>
      </c>
      <c r="E34" s="68">
        <f>(D34-D33)*$L$5</f>
        <v>2975</v>
      </c>
    </row>
    <row r="35" spans="2:5" ht="15.75" thickBot="1" x14ac:dyDescent="0.3">
      <c r="B35" s="102" t="str">
        <f>Works!C12&amp;", "&amp;Works!C13&amp;", "&amp;Works!C14</f>
        <v>Lay floor, Plastering, Contingency</v>
      </c>
      <c r="C35" s="102"/>
      <c r="D35" s="69">
        <f>SUM(Works!E7:E14)</f>
        <v>14.75</v>
      </c>
      <c r="E35" s="70">
        <f>(D35-D34)*$L$5</f>
        <v>3150</v>
      </c>
    </row>
    <row r="36" spans="2:5" x14ac:dyDescent="0.25">
      <c r="E36" s="6"/>
    </row>
    <row r="37" spans="2:5" ht="15.75" thickBot="1" x14ac:dyDescent="0.3">
      <c r="B37" s="71" t="s">
        <v>89</v>
      </c>
      <c r="C37" s="71"/>
      <c r="D37" s="71"/>
      <c r="E37" s="72">
        <f>SUM(E31:E36)</f>
        <v>16425</v>
      </c>
    </row>
    <row r="38" spans="2:5" ht="15.75" thickTop="1" x14ac:dyDescent="0.25"/>
    <row r="39" spans="2:5" ht="24.75" thickBot="1" x14ac:dyDescent="0.3">
      <c r="B39" s="96" t="s">
        <v>97</v>
      </c>
      <c r="C39" s="96"/>
      <c r="D39" s="96"/>
      <c r="E39" s="96"/>
    </row>
    <row r="40" spans="2:5" ht="48" customHeight="1" thickBot="1" x14ac:dyDescent="0.3">
      <c r="B40" s="103" t="str">
        <f>Customer!B16</f>
        <v xml:space="preserve">I’m going to say upto a extra £1000 for building control fee and the rest just incase structural engineers want to change roof and steel size for what I’ve quoted for on previous jobs but if nothing changes then only building control fee is needed </v>
      </c>
      <c r="C40" s="104"/>
      <c r="D40" s="104"/>
      <c r="E40" s="105"/>
    </row>
    <row r="41" spans="2:5" ht="15.75" customHeight="1" x14ac:dyDescent="0.25">
      <c r="B41" s="106"/>
      <c r="C41" s="106"/>
      <c r="D41" s="106"/>
      <c r="E41" s="106"/>
    </row>
    <row r="42" spans="2:5" ht="15.75" customHeight="1" x14ac:dyDescent="0.25">
      <c r="B42" s="110" t="s">
        <v>102</v>
      </c>
      <c r="C42" s="110"/>
      <c r="D42" s="110"/>
      <c r="E42" s="110"/>
    </row>
    <row r="43" spans="2:5" ht="15.75" customHeight="1" x14ac:dyDescent="0.25">
      <c r="B43" s="109" t="s">
        <v>101</v>
      </c>
      <c r="C43" s="109"/>
      <c r="D43" s="109"/>
      <c r="E43" s="109"/>
    </row>
    <row r="56" ht="30.75" customHeight="1" x14ac:dyDescent="0.25"/>
  </sheetData>
  <mergeCells count="30">
    <mergeCell ref="G2:I2"/>
    <mergeCell ref="G28:I29"/>
    <mergeCell ref="B39:E39"/>
    <mergeCell ref="B40:E40"/>
    <mergeCell ref="B42:E42"/>
    <mergeCell ref="B43:E43"/>
    <mergeCell ref="C3:D3"/>
    <mergeCell ref="C4:D4"/>
    <mergeCell ref="C5:D5"/>
    <mergeCell ref="B29:E29"/>
    <mergeCell ref="B30:C30"/>
    <mergeCell ref="B31:C31"/>
    <mergeCell ref="B32:C32"/>
    <mergeCell ref="B33:C33"/>
    <mergeCell ref="B35:C35"/>
    <mergeCell ref="B34:C34"/>
    <mergeCell ref="B23:C23"/>
    <mergeCell ref="B24:C24"/>
    <mergeCell ref="B25:C25"/>
    <mergeCell ref="B11:E11"/>
    <mergeCell ref="B16:E16"/>
    <mergeCell ref="B14:E14"/>
    <mergeCell ref="B17:C17"/>
    <mergeCell ref="B18:C18"/>
    <mergeCell ref="B19:C19"/>
    <mergeCell ref="B20:C20"/>
    <mergeCell ref="B21:C21"/>
    <mergeCell ref="B22:C22"/>
    <mergeCell ref="B12:E12"/>
    <mergeCell ref="B13:E13"/>
  </mergeCells>
  <hyperlinks>
    <hyperlink ref="E10" r:id="rId1" xr:uid="{1C9E8735-2536-46FC-BB78-CC0C6D4C8AD8}"/>
  </hyperlinks>
  <pageMargins left="0.70866141732283472" right="0.70866141732283472" top="0.39370078740157483" bottom="0.39370078740157483" header="0.31496062992125984" footer="0.31496062992125984"/>
  <pageSetup paperSize="9" fitToHeight="0"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E8F7C-AD93-4954-A620-5C50D25EC100}">
  <sheetPr>
    <tabColor theme="1"/>
  </sheetPr>
  <dimension ref="A1:G200"/>
  <sheetViews>
    <sheetView workbookViewId="0">
      <selection activeCell="E2" sqref="E2"/>
    </sheetView>
  </sheetViews>
  <sheetFormatPr defaultRowHeight="15" x14ac:dyDescent="0.25"/>
  <cols>
    <col min="2" max="2" width="4.7109375" customWidth="1"/>
    <col min="4" max="4" width="4.7109375" customWidth="1"/>
    <col min="5" max="7" width="32.140625" customWidth="1"/>
  </cols>
  <sheetData>
    <row r="1" spans="1:7" x14ac:dyDescent="0.25">
      <c r="A1" s="63" t="s">
        <v>82</v>
      </c>
      <c r="C1" s="63" t="s">
        <v>81</v>
      </c>
      <c r="E1" s="64" t="s">
        <v>0</v>
      </c>
      <c r="F1" s="64" t="s">
        <v>3</v>
      </c>
      <c r="G1" s="64" t="s">
        <v>4</v>
      </c>
    </row>
    <row r="2" spans="1:7" x14ac:dyDescent="0.25">
      <c r="A2" s="62">
        <v>0</v>
      </c>
      <c r="C2" s="62">
        <v>1</v>
      </c>
      <c r="E2" s="65" t="s">
        <v>6</v>
      </c>
      <c r="F2" s="65" t="s">
        <v>16</v>
      </c>
      <c r="G2" s="65" t="s">
        <v>37</v>
      </c>
    </row>
    <row r="3" spans="1:7" x14ac:dyDescent="0.25">
      <c r="A3" s="62">
        <f>A2+0.025</f>
        <v>2.5000000000000001E-2</v>
      </c>
      <c r="C3" s="62">
        <v>2</v>
      </c>
      <c r="E3" s="65" t="s">
        <v>7</v>
      </c>
      <c r="F3" s="65" t="s">
        <v>17</v>
      </c>
      <c r="G3" s="65" t="s">
        <v>38</v>
      </c>
    </row>
    <row r="4" spans="1:7" x14ac:dyDescent="0.25">
      <c r="A4" s="62">
        <f>A3+0.025</f>
        <v>0.05</v>
      </c>
      <c r="C4" s="62">
        <v>3</v>
      </c>
      <c r="E4" s="65" t="s">
        <v>8</v>
      </c>
      <c r="F4" s="65" t="s">
        <v>18</v>
      </c>
      <c r="G4" s="65" t="s">
        <v>39</v>
      </c>
    </row>
    <row r="5" spans="1:7" x14ac:dyDescent="0.25">
      <c r="A5" s="62">
        <f t="shared" ref="A5:A42" si="0">A4+0.025</f>
        <v>7.5000000000000011E-2</v>
      </c>
      <c r="C5" s="62">
        <v>4</v>
      </c>
      <c r="E5" s="65" t="s">
        <v>9</v>
      </c>
      <c r="F5" s="65" t="s">
        <v>19</v>
      </c>
      <c r="G5" s="65" t="s">
        <v>40</v>
      </c>
    </row>
    <row r="6" spans="1:7" x14ac:dyDescent="0.25">
      <c r="A6" s="62">
        <f t="shared" si="0"/>
        <v>0.1</v>
      </c>
      <c r="C6" s="62">
        <v>5</v>
      </c>
      <c r="E6" s="65" t="s">
        <v>10</v>
      </c>
      <c r="F6" s="65" t="s">
        <v>20</v>
      </c>
      <c r="G6" s="65" t="s">
        <v>42</v>
      </c>
    </row>
    <row r="7" spans="1:7" x14ac:dyDescent="0.25">
      <c r="A7" s="62">
        <f t="shared" si="0"/>
        <v>0.125</v>
      </c>
      <c r="C7" s="62">
        <v>6</v>
      </c>
      <c r="E7" s="65" t="s">
        <v>11</v>
      </c>
      <c r="F7" s="65" t="s">
        <v>21</v>
      </c>
      <c r="G7" s="65" t="s">
        <v>41</v>
      </c>
    </row>
    <row r="8" spans="1:7" x14ac:dyDescent="0.25">
      <c r="A8" s="62">
        <f t="shared" si="0"/>
        <v>0.15</v>
      </c>
      <c r="C8" s="62">
        <v>7</v>
      </c>
      <c r="E8" s="65" t="s">
        <v>32</v>
      </c>
      <c r="F8" s="65" t="s">
        <v>22</v>
      </c>
      <c r="G8" s="65" t="s">
        <v>8</v>
      </c>
    </row>
    <row r="9" spans="1:7" x14ac:dyDescent="0.25">
      <c r="A9" s="62">
        <f t="shared" si="0"/>
        <v>0.17499999999999999</v>
      </c>
      <c r="C9" s="62">
        <v>8</v>
      </c>
      <c r="E9" s="65" t="s">
        <v>86</v>
      </c>
      <c r="F9" s="65" t="s">
        <v>23</v>
      </c>
      <c r="G9" s="65" t="s">
        <v>43</v>
      </c>
    </row>
    <row r="10" spans="1:7" x14ac:dyDescent="0.25">
      <c r="A10" s="62">
        <f t="shared" si="0"/>
        <v>0.19999999999999998</v>
      </c>
      <c r="C10" s="62">
        <v>9</v>
      </c>
      <c r="E10" s="65"/>
      <c r="F10" s="65" t="s">
        <v>44</v>
      </c>
      <c r="G10" s="65" t="s">
        <v>45</v>
      </c>
    </row>
    <row r="11" spans="1:7" x14ac:dyDescent="0.25">
      <c r="A11" s="62">
        <f t="shared" si="0"/>
        <v>0.22499999999999998</v>
      </c>
      <c r="C11" s="62">
        <v>10</v>
      </c>
      <c r="E11" s="65"/>
      <c r="F11" s="65" t="s">
        <v>24</v>
      </c>
      <c r="G11" s="65" t="s">
        <v>39</v>
      </c>
    </row>
    <row r="12" spans="1:7" x14ac:dyDescent="0.25">
      <c r="A12" s="62">
        <f t="shared" si="0"/>
        <v>0.24999999999999997</v>
      </c>
      <c r="E12" s="65"/>
      <c r="F12" s="65" t="s">
        <v>25</v>
      </c>
      <c r="G12" s="65" t="s">
        <v>46</v>
      </c>
    </row>
    <row r="13" spans="1:7" x14ac:dyDescent="0.25">
      <c r="A13" s="62">
        <f t="shared" si="0"/>
        <v>0.27499999999999997</v>
      </c>
      <c r="E13" s="65"/>
      <c r="F13" s="65" t="s">
        <v>26</v>
      </c>
      <c r="G13" s="65" t="s">
        <v>37</v>
      </c>
    </row>
    <row r="14" spans="1:7" x14ac:dyDescent="0.25">
      <c r="A14" s="62">
        <f t="shared" si="0"/>
        <v>0.3</v>
      </c>
      <c r="E14" s="65"/>
      <c r="F14" s="65" t="s">
        <v>29</v>
      </c>
      <c r="G14" s="65" t="s">
        <v>39</v>
      </c>
    </row>
    <row r="15" spans="1:7" x14ac:dyDescent="0.25">
      <c r="A15" s="62">
        <f t="shared" si="0"/>
        <v>0.32500000000000001</v>
      </c>
      <c r="E15" s="65"/>
      <c r="F15" s="65" t="s">
        <v>28</v>
      </c>
      <c r="G15" s="65" t="s">
        <v>45</v>
      </c>
    </row>
    <row r="16" spans="1:7" x14ac:dyDescent="0.25">
      <c r="A16" s="62">
        <f t="shared" si="0"/>
        <v>0.35000000000000003</v>
      </c>
      <c r="E16" s="65"/>
      <c r="F16" s="65" t="s">
        <v>27</v>
      </c>
      <c r="G16" s="65" t="s">
        <v>47</v>
      </c>
    </row>
    <row r="17" spans="1:7" x14ac:dyDescent="0.25">
      <c r="A17" s="62">
        <f t="shared" si="0"/>
        <v>0.37500000000000006</v>
      </c>
      <c r="E17" s="65"/>
      <c r="F17" s="65" t="s">
        <v>30</v>
      </c>
      <c r="G17" s="65" t="s">
        <v>49</v>
      </c>
    </row>
    <row r="18" spans="1:7" x14ac:dyDescent="0.25">
      <c r="A18" s="62">
        <f t="shared" si="0"/>
        <v>0.40000000000000008</v>
      </c>
      <c r="E18" s="65"/>
      <c r="F18" s="65" t="s">
        <v>31</v>
      </c>
      <c r="G18" s="65" t="s">
        <v>50</v>
      </c>
    </row>
    <row r="19" spans="1:7" x14ac:dyDescent="0.25">
      <c r="A19" s="62">
        <f t="shared" si="0"/>
        <v>0.4250000000000001</v>
      </c>
      <c r="E19" s="65"/>
      <c r="F19" s="65" t="s">
        <v>33</v>
      </c>
      <c r="G19" s="65" t="s">
        <v>51</v>
      </c>
    </row>
    <row r="20" spans="1:7" x14ac:dyDescent="0.25">
      <c r="A20" s="62">
        <f t="shared" si="0"/>
        <v>0.45000000000000012</v>
      </c>
      <c r="E20" s="65"/>
      <c r="F20" s="65" t="s">
        <v>34</v>
      </c>
      <c r="G20" s="65"/>
    </row>
    <row r="21" spans="1:7" x14ac:dyDescent="0.25">
      <c r="A21" s="62">
        <f t="shared" si="0"/>
        <v>0.47500000000000014</v>
      </c>
      <c r="E21" s="65"/>
      <c r="F21" s="65" t="s">
        <v>35</v>
      </c>
      <c r="G21" s="65"/>
    </row>
    <row r="22" spans="1:7" x14ac:dyDescent="0.25">
      <c r="A22" s="62">
        <f t="shared" si="0"/>
        <v>0.50000000000000011</v>
      </c>
      <c r="E22" s="65"/>
      <c r="F22" s="65" t="s">
        <v>87</v>
      </c>
      <c r="G22" s="65"/>
    </row>
    <row r="23" spans="1:7" x14ac:dyDescent="0.25">
      <c r="A23" s="62">
        <f t="shared" si="0"/>
        <v>0.52500000000000013</v>
      </c>
      <c r="E23" s="65"/>
      <c r="F23" s="65"/>
      <c r="G23" s="65"/>
    </row>
    <row r="24" spans="1:7" x14ac:dyDescent="0.25">
      <c r="A24" s="62">
        <f t="shared" si="0"/>
        <v>0.55000000000000016</v>
      </c>
      <c r="E24" s="65"/>
      <c r="F24" s="65"/>
      <c r="G24" s="65"/>
    </row>
    <row r="25" spans="1:7" x14ac:dyDescent="0.25">
      <c r="A25" s="62">
        <f t="shared" si="0"/>
        <v>0.57500000000000018</v>
      </c>
      <c r="E25" s="65"/>
      <c r="F25" s="65"/>
      <c r="G25" s="65"/>
    </row>
    <row r="26" spans="1:7" x14ac:dyDescent="0.25">
      <c r="A26" s="62">
        <f t="shared" si="0"/>
        <v>0.6000000000000002</v>
      </c>
      <c r="E26" s="65"/>
      <c r="F26" s="65"/>
      <c r="G26" s="65"/>
    </row>
    <row r="27" spans="1:7" x14ac:dyDescent="0.25">
      <c r="A27" s="62">
        <f t="shared" si="0"/>
        <v>0.62500000000000022</v>
      </c>
      <c r="E27" s="65"/>
      <c r="F27" s="65"/>
      <c r="G27" s="65"/>
    </row>
    <row r="28" spans="1:7" x14ac:dyDescent="0.25">
      <c r="A28" s="62">
        <f t="shared" si="0"/>
        <v>0.65000000000000024</v>
      </c>
      <c r="E28" s="65"/>
      <c r="F28" s="65"/>
      <c r="G28" s="65"/>
    </row>
    <row r="29" spans="1:7" x14ac:dyDescent="0.25">
      <c r="A29" s="62">
        <f t="shared" si="0"/>
        <v>0.67500000000000027</v>
      </c>
      <c r="E29" s="65"/>
      <c r="F29" s="65"/>
      <c r="G29" s="65"/>
    </row>
    <row r="30" spans="1:7" x14ac:dyDescent="0.25">
      <c r="A30" s="62">
        <f t="shared" si="0"/>
        <v>0.70000000000000029</v>
      </c>
      <c r="E30" s="65"/>
      <c r="F30" s="65"/>
      <c r="G30" s="65"/>
    </row>
    <row r="31" spans="1:7" x14ac:dyDescent="0.25">
      <c r="A31" s="62">
        <f t="shared" si="0"/>
        <v>0.72500000000000031</v>
      </c>
      <c r="E31" s="65"/>
      <c r="F31" s="65"/>
      <c r="G31" s="65"/>
    </row>
    <row r="32" spans="1:7" x14ac:dyDescent="0.25">
      <c r="A32" s="62">
        <f t="shared" si="0"/>
        <v>0.75000000000000033</v>
      </c>
      <c r="E32" s="65"/>
      <c r="F32" s="65"/>
      <c r="G32" s="65"/>
    </row>
    <row r="33" spans="1:7" x14ac:dyDescent="0.25">
      <c r="A33" s="62">
        <f t="shared" si="0"/>
        <v>0.77500000000000036</v>
      </c>
      <c r="E33" s="65"/>
      <c r="F33" s="65"/>
      <c r="G33" s="65"/>
    </row>
    <row r="34" spans="1:7" x14ac:dyDescent="0.25">
      <c r="A34" s="62">
        <f t="shared" si="0"/>
        <v>0.80000000000000038</v>
      </c>
      <c r="E34" s="65"/>
      <c r="F34" s="65"/>
      <c r="G34" s="65"/>
    </row>
    <row r="35" spans="1:7" x14ac:dyDescent="0.25">
      <c r="A35" s="62">
        <f t="shared" si="0"/>
        <v>0.8250000000000004</v>
      </c>
      <c r="E35" s="65"/>
      <c r="F35" s="65"/>
      <c r="G35" s="65"/>
    </row>
    <row r="36" spans="1:7" x14ac:dyDescent="0.25">
      <c r="A36" s="62">
        <f t="shared" si="0"/>
        <v>0.85000000000000042</v>
      </c>
      <c r="E36" s="65"/>
      <c r="F36" s="65"/>
      <c r="G36" s="65"/>
    </row>
    <row r="37" spans="1:7" x14ac:dyDescent="0.25">
      <c r="A37" s="62">
        <f t="shared" si="0"/>
        <v>0.87500000000000044</v>
      </c>
      <c r="E37" s="65"/>
      <c r="F37" s="65"/>
      <c r="G37" s="65"/>
    </row>
    <row r="38" spans="1:7" x14ac:dyDescent="0.25">
      <c r="A38" s="62">
        <f t="shared" si="0"/>
        <v>0.90000000000000047</v>
      </c>
      <c r="E38" s="65"/>
      <c r="F38" s="65"/>
      <c r="G38" s="65"/>
    </row>
    <row r="39" spans="1:7" x14ac:dyDescent="0.25">
      <c r="A39" s="62">
        <f t="shared" si="0"/>
        <v>0.92500000000000049</v>
      </c>
      <c r="E39" s="65"/>
      <c r="F39" s="65"/>
      <c r="G39" s="65"/>
    </row>
    <row r="40" spans="1:7" x14ac:dyDescent="0.25">
      <c r="A40" s="62">
        <f t="shared" si="0"/>
        <v>0.95000000000000051</v>
      </c>
      <c r="E40" s="65"/>
      <c r="F40" s="65"/>
      <c r="G40" s="65"/>
    </row>
    <row r="41" spans="1:7" x14ac:dyDescent="0.25">
      <c r="A41" s="62">
        <f t="shared" si="0"/>
        <v>0.97500000000000053</v>
      </c>
      <c r="E41" s="65"/>
      <c r="F41" s="65"/>
      <c r="G41" s="65"/>
    </row>
    <row r="42" spans="1:7" x14ac:dyDescent="0.25">
      <c r="A42" s="62">
        <f t="shared" si="0"/>
        <v>1.0000000000000004</v>
      </c>
      <c r="E42" s="65"/>
      <c r="F42" s="65"/>
      <c r="G42" s="65"/>
    </row>
    <row r="43" spans="1:7" x14ac:dyDescent="0.25">
      <c r="E43" s="65"/>
      <c r="F43" s="65"/>
      <c r="G43" s="65"/>
    </row>
    <row r="44" spans="1:7" x14ac:dyDescent="0.25">
      <c r="E44" s="65"/>
      <c r="F44" s="65"/>
      <c r="G44" s="65"/>
    </row>
    <row r="45" spans="1:7" x14ac:dyDescent="0.25">
      <c r="E45" s="65"/>
      <c r="F45" s="65"/>
      <c r="G45" s="65"/>
    </row>
    <row r="46" spans="1:7" x14ac:dyDescent="0.25">
      <c r="E46" s="65"/>
      <c r="F46" s="65"/>
      <c r="G46" s="65"/>
    </row>
    <row r="47" spans="1:7" x14ac:dyDescent="0.25">
      <c r="E47" s="65"/>
      <c r="F47" s="65"/>
      <c r="G47" s="65"/>
    </row>
    <row r="48" spans="1:7" x14ac:dyDescent="0.25">
      <c r="E48" s="65"/>
      <c r="F48" s="65"/>
      <c r="G48" s="65"/>
    </row>
    <row r="49" spans="5:7" x14ac:dyDescent="0.25">
      <c r="E49" s="65"/>
      <c r="F49" s="65"/>
      <c r="G49" s="65"/>
    </row>
    <row r="50" spans="5:7" x14ac:dyDescent="0.25">
      <c r="E50" s="65"/>
      <c r="F50" s="65"/>
      <c r="G50" s="65"/>
    </row>
    <row r="51" spans="5:7" x14ac:dyDescent="0.25">
      <c r="E51" s="65"/>
      <c r="F51" s="65"/>
      <c r="G51" s="65"/>
    </row>
    <row r="52" spans="5:7" x14ac:dyDescent="0.25">
      <c r="E52" s="65"/>
      <c r="F52" s="65"/>
      <c r="G52" s="65"/>
    </row>
    <row r="53" spans="5:7" x14ac:dyDescent="0.25">
      <c r="E53" s="65"/>
      <c r="F53" s="65"/>
      <c r="G53" s="65"/>
    </row>
    <row r="54" spans="5:7" x14ac:dyDescent="0.25">
      <c r="E54" s="65"/>
      <c r="F54" s="65"/>
      <c r="G54" s="65"/>
    </row>
    <row r="55" spans="5:7" x14ac:dyDescent="0.25">
      <c r="E55" s="65"/>
      <c r="F55" s="65"/>
      <c r="G55" s="65"/>
    </row>
    <row r="56" spans="5:7" x14ac:dyDescent="0.25">
      <c r="E56" s="65"/>
      <c r="F56" s="65"/>
      <c r="G56" s="65"/>
    </row>
    <row r="57" spans="5:7" x14ac:dyDescent="0.25">
      <c r="E57" s="65"/>
      <c r="F57" s="65"/>
      <c r="G57" s="65"/>
    </row>
    <row r="58" spans="5:7" x14ac:dyDescent="0.25">
      <c r="E58" s="65"/>
      <c r="F58" s="65"/>
      <c r="G58" s="65"/>
    </row>
    <row r="59" spans="5:7" x14ac:dyDescent="0.25">
      <c r="E59" s="65"/>
      <c r="F59" s="65"/>
      <c r="G59" s="65"/>
    </row>
    <row r="60" spans="5:7" x14ac:dyDescent="0.25">
      <c r="E60" s="65"/>
      <c r="F60" s="65"/>
      <c r="G60" s="65"/>
    </row>
    <row r="61" spans="5:7" x14ac:dyDescent="0.25">
      <c r="E61" s="65"/>
      <c r="F61" s="65"/>
      <c r="G61" s="65"/>
    </row>
    <row r="62" spans="5:7" x14ac:dyDescent="0.25">
      <c r="E62" s="65"/>
      <c r="F62" s="65"/>
      <c r="G62" s="65"/>
    </row>
    <row r="63" spans="5:7" x14ac:dyDescent="0.25">
      <c r="E63" s="65"/>
      <c r="F63" s="65"/>
      <c r="G63" s="65"/>
    </row>
    <row r="64" spans="5:7" x14ac:dyDescent="0.25">
      <c r="E64" s="65"/>
      <c r="F64" s="65"/>
      <c r="G64" s="65"/>
    </row>
    <row r="65" spans="5:7" x14ac:dyDescent="0.25">
      <c r="E65" s="65"/>
      <c r="F65" s="65"/>
      <c r="G65" s="65"/>
    </row>
    <row r="66" spans="5:7" x14ac:dyDescent="0.25">
      <c r="E66" s="65"/>
      <c r="F66" s="65"/>
      <c r="G66" s="65"/>
    </row>
    <row r="67" spans="5:7" x14ac:dyDescent="0.25">
      <c r="E67" s="65"/>
      <c r="F67" s="65"/>
      <c r="G67" s="65"/>
    </row>
    <row r="68" spans="5:7" x14ac:dyDescent="0.25">
      <c r="E68" s="65"/>
      <c r="F68" s="65"/>
      <c r="G68" s="65"/>
    </row>
    <row r="69" spans="5:7" x14ac:dyDescent="0.25">
      <c r="E69" s="65"/>
      <c r="F69" s="65"/>
      <c r="G69" s="65"/>
    </row>
    <row r="70" spans="5:7" x14ac:dyDescent="0.25">
      <c r="E70" s="65"/>
      <c r="F70" s="65"/>
      <c r="G70" s="65"/>
    </row>
    <row r="71" spans="5:7" x14ac:dyDescent="0.25">
      <c r="E71" s="65"/>
      <c r="F71" s="65"/>
      <c r="G71" s="65"/>
    </row>
    <row r="72" spans="5:7" x14ac:dyDescent="0.25">
      <c r="E72" s="65"/>
      <c r="F72" s="65"/>
      <c r="G72" s="65"/>
    </row>
    <row r="73" spans="5:7" x14ac:dyDescent="0.25">
      <c r="E73" s="65"/>
      <c r="F73" s="65"/>
      <c r="G73" s="65"/>
    </row>
    <row r="74" spans="5:7" x14ac:dyDescent="0.25">
      <c r="E74" s="65"/>
      <c r="F74" s="65"/>
      <c r="G74" s="65"/>
    </row>
    <row r="75" spans="5:7" x14ac:dyDescent="0.25">
      <c r="E75" s="65"/>
      <c r="F75" s="65"/>
      <c r="G75" s="65"/>
    </row>
    <row r="76" spans="5:7" x14ac:dyDescent="0.25">
      <c r="E76" s="65"/>
      <c r="F76" s="65"/>
      <c r="G76" s="65"/>
    </row>
    <row r="77" spans="5:7" x14ac:dyDescent="0.25">
      <c r="E77" s="65"/>
      <c r="F77" s="65"/>
      <c r="G77" s="65"/>
    </row>
    <row r="78" spans="5:7" x14ac:dyDescent="0.25">
      <c r="E78" s="65"/>
      <c r="F78" s="65"/>
      <c r="G78" s="65"/>
    </row>
    <row r="79" spans="5:7" x14ac:dyDescent="0.25">
      <c r="E79" s="65"/>
      <c r="F79" s="65"/>
      <c r="G79" s="65"/>
    </row>
    <row r="80" spans="5:7" x14ac:dyDescent="0.25">
      <c r="E80" s="65"/>
      <c r="F80" s="65"/>
      <c r="G80" s="65"/>
    </row>
    <row r="81" spans="5:7" x14ac:dyDescent="0.25">
      <c r="E81" s="65"/>
      <c r="F81" s="65"/>
      <c r="G81" s="65"/>
    </row>
    <row r="82" spans="5:7" x14ac:dyDescent="0.25">
      <c r="E82" s="65"/>
      <c r="F82" s="65"/>
      <c r="G82" s="65"/>
    </row>
    <row r="83" spans="5:7" x14ac:dyDescent="0.25">
      <c r="E83" s="65"/>
      <c r="F83" s="65"/>
      <c r="G83" s="65"/>
    </row>
    <row r="84" spans="5:7" x14ac:dyDescent="0.25">
      <c r="E84" s="65"/>
      <c r="F84" s="65"/>
      <c r="G84" s="65"/>
    </row>
    <row r="85" spans="5:7" x14ac:dyDescent="0.25">
      <c r="E85" s="65"/>
      <c r="F85" s="65"/>
      <c r="G85" s="65"/>
    </row>
    <row r="86" spans="5:7" x14ac:dyDescent="0.25">
      <c r="E86" s="65"/>
      <c r="F86" s="65"/>
      <c r="G86" s="65"/>
    </row>
    <row r="87" spans="5:7" x14ac:dyDescent="0.25">
      <c r="E87" s="65"/>
      <c r="F87" s="65"/>
      <c r="G87" s="65"/>
    </row>
    <row r="88" spans="5:7" x14ac:dyDescent="0.25">
      <c r="E88" s="65"/>
      <c r="F88" s="65"/>
      <c r="G88" s="65"/>
    </row>
    <row r="89" spans="5:7" x14ac:dyDescent="0.25">
      <c r="E89" s="65"/>
      <c r="F89" s="65"/>
      <c r="G89" s="65"/>
    </row>
    <row r="90" spans="5:7" x14ac:dyDescent="0.25">
      <c r="E90" s="65"/>
      <c r="F90" s="65"/>
      <c r="G90" s="65"/>
    </row>
    <row r="91" spans="5:7" x14ac:dyDescent="0.25">
      <c r="E91" s="65"/>
      <c r="F91" s="65"/>
      <c r="G91" s="65"/>
    </row>
    <row r="92" spans="5:7" x14ac:dyDescent="0.25">
      <c r="E92" s="65"/>
      <c r="F92" s="65"/>
      <c r="G92" s="65"/>
    </row>
    <row r="93" spans="5:7" x14ac:dyDescent="0.25">
      <c r="E93" s="65"/>
      <c r="F93" s="65"/>
      <c r="G93" s="65"/>
    </row>
    <row r="94" spans="5:7" x14ac:dyDescent="0.25">
      <c r="E94" s="65"/>
      <c r="F94" s="65"/>
      <c r="G94" s="65"/>
    </row>
    <row r="95" spans="5:7" x14ac:dyDescent="0.25">
      <c r="E95" s="65"/>
      <c r="F95" s="65"/>
      <c r="G95" s="65"/>
    </row>
    <row r="96" spans="5:7" x14ac:dyDescent="0.25">
      <c r="E96" s="65"/>
      <c r="F96" s="65"/>
      <c r="G96" s="65"/>
    </row>
    <row r="97" spans="5:7" x14ac:dyDescent="0.25">
      <c r="E97" s="65"/>
      <c r="F97" s="65"/>
      <c r="G97" s="65"/>
    </row>
    <row r="98" spans="5:7" x14ac:dyDescent="0.25">
      <c r="E98" s="65"/>
      <c r="F98" s="65"/>
      <c r="G98" s="65"/>
    </row>
    <row r="99" spans="5:7" x14ac:dyDescent="0.25">
      <c r="E99" s="65"/>
      <c r="F99" s="65"/>
      <c r="G99" s="65"/>
    </row>
    <row r="100" spans="5:7" x14ac:dyDescent="0.25">
      <c r="E100" s="65"/>
      <c r="F100" s="65"/>
      <c r="G100" s="65"/>
    </row>
    <row r="101" spans="5:7" x14ac:dyDescent="0.25">
      <c r="E101" s="65"/>
      <c r="F101" s="65"/>
      <c r="G101" s="65"/>
    </row>
    <row r="102" spans="5:7" x14ac:dyDescent="0.25">
      <c r="E102" s="65"/>
      <c r="F102" s="65"/>
      <c r="G102" s="65"/>
    </row>
    <row r="103" spans="5:7" x14ac:dyDescent="0.25">
      <c r="E103" s="65"/>
      <c r="F103" s="65"/>
      <c r="G103" s="65"/>
    </row>
    <row r="104" spans="5:7" x14ac:dyDescent="0.25">
      <c r="E104" s="65"/>
      <c r="F104" s="65"/>
      <c r="G104" s="65"/>
    </row>
    <row r="105" spans="5:7" x14ac:dyDescent="0.25">
      <c r="E105" s="65"/>
      <c r="F105" s="65"/>
      <c r="G105" s="65"/>
    </row>
    <row r="106" spans="5:7" x14ac:dyDescent="0.25">
      <c r="E106" s="65"/>
      <c r="F106" s="65"/>
      <c r="G106" s="65"/>
    </row>
    <row r="107" spans="5:7" x14ac:dyDescent="0.25">
      <c r="E107" s="65"/>
      <c r="F107" s="65"/>
      <c r="G107" s="65"/>
    </row>
    <row r="108" spans="5:7" x14ac:dyDescent="0.25">
      <c r="E108" s="65"/>
      <c r="F108" s="65"/>
      <c r="G108" s="65"/>
    </row>
    <row r="109" spans="5:7" x14ac:dyDescent="0.25">
      <c r="E109" s="65"/>
      <c r="F109" s="65"/>
      <c r="G109" s="65"/>
    </row>
    <row r="110" spans="5:7" x14ac:dyDescent="0.25">
      <c r="E110" s="65"/>
      <c r="F110" s="65"/>
      <c r="G110" s="65"/>
    </row>
    <row r="111" spans="5:7" x14ac:dyDescent="0.25">
      <c r="E111" s="65"/>
      <c r="F111" s="65"/>
      <c r="G111" s="65"/>
    </row>
    <row r="112" spans="5:7" x14ac:dyDescent="0.25">
      <c r="E112" s="65"/>
      <c r="F112" s="65"/>
      <c r="G112" s="65"/>
    </row>
    <row r="113" spans="5:7" x14ac:dyDescent="0.25">
      <c r="E113" s="65"/>
      <c r="F113" s="65"/>
      <c r="G113" s="65"/>
    </row>
    <row r="114" spans="5:7" x14ac:dyDescent="0.25">
      <c r="E114" s="65"/>
      <c r="F114" s="65"/>
      <c r="G114" s="65"/>
    </row>
    <row r="115" spans="5:7" x14ac:dyDescent="0.25">
      <c r="E115" s="65"/>
      <c r="F115" s="65"/>
      <c r="G115" s="65"/>
    </row>
    <row r="116" spans="5:7" x14ac:dyDescent="0.25">
      <c r="E116" s="65"/>
      <c r="F116" s="65"/>
      <c r="G116" s="65"/>
    </row>
    <row r="117" spans="5:7" x14ac:dyDescent="0.25">
      <c r="E117" s="65"/>
      <c r="F117" s="65"/>
      <c r="G117" s="65"/>
    </row>
    <row r="118" spans="5:7" x14ac:dyDescent="0.25">
      <c r="E118" s="65"/>
      <c r="F118" s="65"/>
      <c r="G118" s="65"/>
    </row>
    <row r="119" spans="5:7" x14ac:dyDescent="0.25">
      <c r="E119" s="65"/>
      <c r="F119" s="65"/>
      <c r="G119" s="65"/>
    </row>
    <row r="120" spans="5:7" x14ac:dyDescent="0.25">
      <c r="E120" s="65"/>
      <c r="F120" s="65"/>
      <c r="G120" s="65"/>
    </row>
    <row r="121" spans="5:7" x14ac:dyDescent="0.25">
      <c r="E121" s="65"/>
      <c r="F121" s="65"/>
      <c r="G121" s="65"/>
    </row>
    <row r="122" spans="5:7" x14ac:dyDescent="0.25">
      <c r="E122" s="65"/>
      <c r="F122" s="65"/>
      <c r="G122" s="65"/>
    </row>
    <row r="123" spans="5:7" x14ac:dyDescent="0.25">
      <c r="E123" s="65"/>
      <c r="F123" s="65"/>
      <c r="G123" s="65"/>
    </row>
    <row r="124" spans="5:7" x14ac:dyDescent="0.25">
      <c r="E124" s="65"/>
      <c r="F124" s="65"/>
      <c r="G124" s="65"/>
    </row>
    <row r="125" spans="5:7" x14ac:dyDescent="0.25">
      <c r="E125" s="65"/>
      <c r="F125" s="65"/>
      <c r="G125" s="65"/>
    </row>
    <row r="126" spans="5:7" x14ac:dyDescent="0.25">
      <c r="E126" s="65"/>
      <c r="F126" s="65"/>
      <c r="G126" s="65"/>
    </row>
    <row r="127" spans="5:7" x14ac:dyDescent="0.25">
      <c r="E127" s="65"/>
      <c r="F127" s="65"/>
      <c r="G127" s="65"/>
    </row>
    <row r="128" spans="5:7" x14ac:dyDescent="0.25">
      <c r="E128" s="65"/>
      <c r="F128" s="65"/>
      <c r="G128" s="65"/>
    </row>
    <row r="129" spans="5:7" x14ac:dyDescent="0.25">
      <c r="E129" s="65"/>
      <c r="F129" s="65"/>
      <c r="G129" s="65"/>
    </row>
    <row r="130" spans="5:7" x14ac:dyDescent="0.25">
      <c r="E130" s="65"/>
      <c r="F130" s="65"/>
      <c r="G130" s="65"/>
    </row>
    <row r="131" spans="5:7" x14ac:dyDescent="0.25">
      <c r="E131" s="65"/>
      <c r="F131" s="65"/>
      <c r="G131" s="65"/>
    </row>
    <row r="132" spans="5:7" x14ac:dyDescent="0.25">
      <c r="E132" s="65"/>
      <c r="F132" s="65"/>
      <c r="G132" s="65"/>
    </row>
    <row r="133" spans="5:7" x14ac:dyDescent="0.25">
      <c r="E133" s="65"/>
      <c r="F133" s="65"/>
      <c r="G133" s="65"/>
    </row>
    <row r="134" spans="5:7" x14ac:dyDescent="0.25">
      <c r="E134" s="65"/>
      <c r="F134" s="65"/>
      <c r="G134" s="65"/>
    </row>
    <row r="135" spans="5:7" x14ac:dyDescent="0.25">
      <c r="E135" s="65"/>
      <c r="F135" s="65"/>
      <c r="G135" s="65"/>
    </row>
    <row r="136" spans="5:7" x14ac:dyDescent="0.25">
      <c r="E136" s="65"/>
      <c r="F136" s="65"/>
      <c r="G136" s="65"/>
    </row>
    <row r="137" spans="5:7" x14ac:dyDescent="0.25">
      <c r="E137" s="65"/>
      <c r="F137" s="65"/>
      <c r="G137" s="65"/>
    </row>
    <row r="138" spans="5:7" x14ac:dyDescent="0.25">
      <c r="E138" s="65"/>
      <c r="F138" s="65"/>
      <c r="G138" s="65"/>
    </row>
    <row r="139" spans="5:7" x14ac:dyDescent="0.25">
      <c r="E139" s="65"/>
      <c r="F139" s="65"/>
      <c r="G139" s="65"/>
    </row>
    <row r="140" spans="5:7" x14ac:dyDescent="0.25">
      <c r="E140" s="65"/>
      <c r="F140" s="65"/>
      <c r="G140" s="65"/>
    </row>
    <row r="141" spans="5:7" x14ac:dyDescent="0.25">
      <c r="E141" s="65"/>
      <c r="F141" s="65"/>
      <c r="G141" s="65"/>
    </row>
    <row r="142" spans="5:7" x14ac:dyDescent="0.25">
      <c r="E142" s="65"/>
      <c r="F142" s="65"/>
      <c r="G142" s="65"/>
    </row>
    <row r="143" spans="5:7" x14ac:dyDescent="0.25">
      <c r="E143" s="65"/>
      <c r="F143" s="65"/>
      <c r="G143" s="65"/>
    </row>
    <row r="144" spans="5:7" x14ac:dyDescent="0.25">
      <c r="E144" s="65"/>
      <c r="F144" s="65"/>
      <c r="G144" s="65"/>
    </row>
    <row r="145" spans="5:7" x14ac:dyDescent="0.25">
      <c r="E145" s="65"/>
      <c r="F145" s="65"/>
      <c r="G145" s="65"/>
    </row>
    <row r="146" spans="5:7" x14ac:dyDescent="0.25">
      <c r="E146" s="65"/>
      <c r="F146" s="65"/>
      <c r="G146" s="65"/>
    </row>
    <row r="147" spans="5:7" x14ac:dyDescent="0.25">
      <c r="E147" s="65"/>
      <c r="F147" s="65"/>
      <c r="G147" s="65"/>
    </row>
    <row r="148" spans="5:7" x14ac:dyDescent="0.25">
      <c r="E148" s="65"/>
      <c r="F148" s="65"/>
      <c r="G148" s="65"/>
    </row>
    <row r="149" spans="5:7" x14ac:dyDescent="0.25">
      <c r="E149" s="65"/>
      <c r="F149" s="65"/>
      <c r="G149" s="65"/>
    </row>
    <row r="150" spans="5:7" x14ac:dyDescent="0.25">
      <c r="E150" s="65"/>
      <c r="F150" s="65"/>
      <c r="G150" s="65"/>
    </row>
    <row r="151" spans="5:7" x14ac:dyDescent="0.25">
      <c r="E151" s="65"/>
      <c r="F151" s="65"/>
      <c r="G151" s="65"/>
    </row>
    <row r="152" spans="5:7" x14ac:dyDescent="0.25">
      <c r="E152" s="65"/>
      <c r="F152" s="65"/>
      <c r="G152" s="65"/>
    </row>
    <row r="153" spans="5:7" x14ac:dyDescent="0.25">
      <c r="E153" s="65"/>
      <c r="F153" s="65"/>
      <c r="G153" s="65"/>
    </row>
    <row r="154" spans="5:7" x14ac:dyDescent="0.25">
      <c r="E154" s="65"/>
      <c r="F154" s="65"/>
      <c r="G154" s="65"/>
    </row>
    <row r="155" spans="5:7" x14ac:dyDescent="0.25">
      <c r="E155" s="65"/>
      <c r="F155" s="65"/>
      <c r="G155" s="65"/>
    </row>
    <row r="156" spans="5:7" x14ac:dyDescent="0.25">
      <c r="E156" s="65"/>
      <c r="F156" s="65"/>
      <c r="G156" s="65"/>
    </row>
    <row r="157" spans="5:7" x14ac:dyDescent="0.25">
      <c r="E157" s="65"/>
      <c r="F157" s="65"/>
      <c r="G157" s="65"/>
    </row>
    <row r="158" spans="5:7" x14ac:dyDescent="0.25">
      <c r="E158" s="65"/>
      <c r="F158" s="65"/>
      <c r="G158" s="65"/>
    </row>
    <row r="159" spans="5:7" x14ac:dyDescent="0.25">
      <c r="E159" s="65"/>
      <c r="F159" s="65"/>
      <c r="G159" s="65"/>
    </row>
    <row r="160" spans="5:7" x14ac:dyDescent="0.25">
      <c r="E160" s="65"/>
      <c r="F160" s="65"/>
      <c r="G160" s="65"/>
    </row>
    <row r="161" spans="5:7" x14ac:dyDescent="0.25">
      <c r="E161" s="65"/>
      <c r="F161" s="65"/>
      <c r="G161" s="65"/>
    </row>
    <row r="162" spans="5:7" x14ac:dyDescent="0.25">
      <c r="E162" s="65"/>
      <c r="F162" s="65"/>
      <c r="G162" s="65"/>
    </row>
    <row r="163" spans="5:7" x14ac:dyDescent="0.25">
      <c r="E163" s="65"/>
      <c r="F163" s="65"/>
      <c r="G163" s="65"/>
    </row>
    <row r="164" spans="5:7" x14ac:dyDescent="0.25">
      <c r="E164" s="65"/>
      <c r="F164" s="65"/>
      <c r="G164" s="65"/>
    </row>
    <row r="165" spans="5:7" x14ac:dyDescent="0.25">
      <c r="E165" s="65"/>
      <c r="F165" s="65"/>
      <c r="G165" s="65"/>
    </row>
    <row r="166" spans="5:7" x14ac:dyDescent="0.25">
      <c r="E166" s="65"/>
      <c r="F166" s="65"/>
      <c r="G166" s="65"/>
    </row>
    <row r="167" spans="5:7" x14ac:dyDescent="0.25">
      <c r="E167" s="65"/>
      <c r="F167" s="65"/>
      <c r="G167" s="65"/>
    </row>
    <row r="168" spans="5:7" x14ac:dyDescent="0.25">
      <c r="E168" s="65"/>
      <c r="F168" s="65"/>
      <c r="G168" s="65"/>
    </row>
    <row r="169" spans="5:7" x14ac:dyDescent="0.25">
      <c r="E169" s="65"/>
      <c r="F169" s="65"/>
      <c r="G169" s="65"/>
    </row>
    <row r="170" spans="5:7" x14ac:dyDescent="0.25">
      <c r="E170" s="65"/>
      <c r="F170" s="65"/>
      <c r="G170" s="65"/>
    </row>
    <row r="171" spans="5:7" x14ac:dyDescent="0.25">
      <c r="E171" s="65"/>
      <c r="F171" s="65"/>
      <c r="G171" s="65"/>
    </row>
    <row r="172" spans="5:7" x14ac:dyDescent="0.25">
      <c r="E172" s="65"/>
      <c r="F172" s="65"/>
      <c r="G172" s="65"/>
    </row>
    <row r="173" spans="5:7" x14ac:dyDescent="0.25">
      <c r="E173" s="65"/>
      <c r="F173" s="65"/>
      <c r="G173" s="65"/>
    </row>
    <row r="174" spans="5:7" x14ac:dyDescent="0.25">
      <c r="E174" s="65"/>
      <c r="F174" s="65"/>
      <c r="G174" s="65"/>
    </row>
    <row r="175" spans="5:7" x14ac:dyDescent="0.25">
      <c r="E175" s="65"/>
      <c r="F175" s="65"/>
      <c r="G175" s="65"/>
    </row>
    <row r="176" spans="5:7" x14ac:dyDescent="0.25">
      <c r="E176" s="65"/>
      <c r="F176" s="65"/>
      <c r="G176" s="65"/>
    </row>
    <row r="177" spans="5:7" x14ac:dyDescent="0.25">
      <c r="E177" s="65"/>
      <c r="F177" s="65"/>
      <c r="G177" s="65"/>
    </row>
    <row r="178" spans="5:7" x14ac:dyDescent="0.25">
      <c r="E178" s="65"/>
      <c r="F178" s="65"/>
      <c r="G178" s="65"/>
    </row>
    <row r="179" spans="5:7" x14ac:dyDescent="0.25">
      <c r="E179" s="65"/>
      <c r="F179" s="65"/>
      <c r="G179" s="65"/>
    </row>
    <row r="180" spans="5:7" x14ac:dyDescent="0.25">
      <c r="E180" s="65"/>
      <c r="F180" s="65"/>
      <c r="G180" s="65"/>
    </row>
    <row r="181" spans="5:7" x14ac:dyDescent="0.25">
      <c r="E181" s="65"/>
      <c r="F181" s="65"/>
      <c r="G181" s="65"/>
    </row>
    <row r="182" spans="5:7" x14ac:dyDescent="0.25">
      <c r="E182" s="65"/>
      <c r="F182" s="65"/>
      <c r="G182" s="65"/>
    </row>
    <row r="183" spans="5:7" x14ac:dyDescent="0.25">
      <c r="E183" s="65"/>
      <c r="F183" s="65"/>
      <c r="G183" s="65"/>
    </row>
    <row r="184" spans="5:7" x14ac:dyDescent="0.25">
      <c r="E184" s="65"/>
      <c r="F184" s="65"/>
      <c r="G184" s="65"/>
    </row>
    <row r="185" spans="5:7" x14ac:dyDescent="0.25">
      <c r="E185" s="65"/>
      <c r="F185" s="65"/>
      <c r="G185" s="65"/>
    </row>
    <row r="186" spans="5:7" x14ac:dyDescent="0.25">
      <c r="E186" s="65"/>
      <c r="F186" s="65"/>
      <c r="G186" s="65"/>
    </row>
    <row r="187" spans="5:7" x14ac:dyDescent="0.25">
      <c r="E187" s="65"/>
      <c r="F187" s="65"/>
      <c r="G187" s="65"/>
    </row>
    <row r="188" spans="5:7" x14ac:dyDescent="0.25">
      <c r="E188" s="65"/>
      <c r="F188" s="65"/>
      <c r="G188" s="65"/>
    </row>
    <row r="189" spans="5:7" x14ac:dyDescent="0.25">
      <c r="E189" s="65"/>
      <c r="F189" s="65"/>
      <c r="G189" s="65"/>
    </row>
    <row r="190" spans="5:7" x14ac:dyDescent="0.25">
      <c r="E190" s="65"/>
      <c r="F190" s="65"/>
      <c r="G190" s="65"/>
    </row>
    <row r="191" spans="5:7" x14ac:dyDescent="0.25">
      <c r="E191" s="65"/>
      <c r="F191" s="65"/>
      <c r="G191" s="65"/>
    </row>
    <row r="192" spans="5:7" x14ac:dyDescent="0.25">
      <c r="E192" s="65"/>
      <c r="F192" s="65"/>
      <c r="G192" s="65"/>
    </row>
    <row r="193" spans="5:7" x14ac:dyDescent="0.25">
      <c r="E193" s="65"/>
      <c r="F193" s="65"/>
      <c r="G193" s="65"/>
    </row>
    <row r="194" spans="5:7" x14ac:dyDescent="0.25">
      <c r="E194" s="65"/>
      <c r="F194" s="65"/>
      <c r="G194" s="65"/>
    </row>
    <row r="195" spans="5:7" x14ac:dyDescent="0.25">
      <c r="E195" s="65"/>
      <c r="F195" s="65"/>
      <c r="G195" s="65"/>
    </row>
    <row r="196" spans="5:7" x14ac:dyDescent="0.25">
      <c r="E196" s="65"/>
      <c r="F196" s="65"/>
      <c r="G196" s="65"/>
    </row>
    <row r="197" spans="5:7" x14ac:dyDescent="0.25">
      <c r="E197" s="65"/>
      <c r="F197" s="65"/>
      <c r="G197" s="65"/>
    </row>
    <row r="198" spans="5:7" x14ac:dyDescent="0.25">
      <c r="E198" s="65"/>
      <c r="F198" s="65"/>
      <c r="G198" s="65"/>
    </row>
    <row r="199" spans="5:7" x14ac:dyDescent="0.25">
      <c r="E199" s="65"/>
      <c r="F199" s="65"/>
      <c r="G199" s="65"/>
    </row>
    <row r="200" spans="5:7" x14ac:dyDescent="0.25">
      <c r="E200" s="65"/>
      <c r="F200" s="65"/>
      <c r="G200" s="65"/>
    </row>
  </sheetData>
  <sheetProtection sheet="1" objects="1" scenarios="1" selectLockedCells="1" sort="0" autoFilter="0"/>
  <autoFilter ref="E1:G8" xr:uid="{448E8F7C-AD93-4954-A620-5C50D25EC100}"/>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titus xmlns="http://schemas.titus.com/TitusProperties/">
  <TitusGUID xmlns="">4174813f-e8b2-4b0f-8a14-c19154577716</TitusGUID>
  <TitusMetadata xmlns="">eyJucyI6Imh0dHA6XC9cL3d3dy50aXR1cy5jb21cL25zXC9Sb2xscy1Sb3ljZSIsInByb3BzIjpbeyJuIjoiUlJUSVRVUyIsInZhbHMiOlt7InZhbHVlIjoiTm8gQ2xhc3NpZmljYXRpb24ifV19LHsibiI6IlJldGVudGlvbkRlY2lzaW9uIiwidmFscyI6W3sidmFsdWUiOiJObyByZXF1aXJlbWVudCB0byByZXRhaW4ifV19LHsibiI6IkRhdGVSZXRlbnRpb24iLCJ2YWxzIjpbXX0seyJuIjoiRXhwb3J0Q29udHJvbCIsInZhbHMiOlt7InZhbHVlIjoiTm8ifV19LHsibiI6IkVDVUtMaXN0IiwidmFscyI6W119LHsibiI6IlVLRVVEdWFsVXNlIiwidmFscyI6W119LHsibiI6IlVLVUtEdWFsVXNlIiwidmFscyI6W119LHsibiI6IlVLVUtNaWxpdGFyeSIsInZhbHMiOltdfSx7Im4iOiJFQ090aGVyTGlzdCIsInZhbHMiOltdfSx7Im4iOiJBVEVVRHVhbFVzZSIsInZhbHMiOltdfSx7Im4iOiJBVEVVTWlsaXRhcnkiLCJ2YWxzIjpbXX0seyJuIjoiQkVFVUR1YWxVc2UiLCJ2YWxzIjpbXX0seyJuIjoiQkVFVU1pbGl0YXJ5IiwidmFscyI6W119LHsibiI6IkJHRVVEdWFsVXNlIiwidmFscyI6W119LHsibiI6IkJHRVVNaWxpdGFyeSIsInZhbHMiOltdfSx7Im4iOiJDQUR1YWxVc2UiLCJ2YWxzIjpbXX0seyJuIjoiQ0FNVENSIiwidmFscyI6W119LHsibiI6IkNBTXVuIiwidmFscyI6W119LHsibiI6IkNhTXVuQ0dQIiwidmFscyI6W119LHsibiI6IkNBTkwiLCJ2YWxzIjpbXX0seyJuIjoiQ0FOTlAiLCJ2YWxzIjpbXX0seyJuIjoiQ0FVU09yaWdpbiIsInZhbHMiOltdfSx7Im4iOiJIUkVVRHVhbFVzZSIsInZhbHMiOltdfSx7Im4iOiJIUkVVTWlsaXRhcnkiLCJ2YWxzIjpbXX0seyJuIjoiQ1lFVUR1YWxVc2UiLCJ2YWxzIjpbXX0seyJuIjoiQ1lFVU1pbGl0YXJ5IiwidmFscyI6W119LHsibiI6IkNaRVVEdWFsVXNlIiwidmFscyI6W119LHsibiI6IkNaRVVNaWxpdGFyeSIsInZhbHMiOltdfSx7Im4iOiJES0VVRHVhbFVzZSIsInZhbHMiOltdfSx7Im4iOiJES0VVTWlsaXRhcnkiLCJ2YWxzIjpbXX0seyJuIjoiREtOTCIsInZhbHMiOltdfSx7Im4iOiJFRUVVRHVhbFVzZSIsInZhbHMiOltdfSx7Im4iOiJFRUVVTWlsaXRhcnkiLCJ2YWxzIjpbXX0seyJuIjoiRklFVUR1YWxVc2UiLCJ2YWxzIjpbXX0seyJuIjoiRklFVU1pbGl0YXJ5IiwidmFscyI6W119LHsibiI6IkZJTkwiLCJ2YWxzIjpbXX0seyJuIjoiRlJFVUR1YWxVc2UiLCJ2YWxzIjpbXX0seyJuIjoiRlJFVU1pbGl0YXJ5IiwidmFscyI6W119LHsibiI6IkZSTkwiLCJ2YWxzIjpbXX0seyJuIjoiREVFVUR1YWxVc2UiLCJ2YWxzIjpbXX0seyJuIjoiREVFVU1pbGl0YXJ5IiwidmFscyI6W119LHsibiI6IkRFREVNaWxpdGFyeSIsInZhbHMiOltdfSx7Im4iOiJERU5MIiwidmFscyI6W119LHsibiI6IkdSRVVEdWFsVXNlIiwidmFscyI6W119LHsibiI6IkdSRVVNaWxpdGFyeSIsInZhbHMiOltdfSx7Im4iOiJIVUVVRHVhbFVzZSIsInZhbHMiOltdfSx7Im4iOiJIVUVVTWlsaXRhcnkiLCJ2YWxzIjpbXX0seyJuIjoiSFVOTCIsInZhbHMiOltdfSx7Im4iOiJJTlNDT01FVCIsInZhbHMiOltdfSx7Im4iOiJJRUVVRHVhbFVzZSIsInZhbHMiOltdfSx7Im4iOiJJRUVVTWlsaXRhcnkiLCJ2YWxzIjpbXX0seyJuIjoiSVRFVUR1YWxVc2UiLCJ2YWxzIjpbXX0seyJuIjoiSVRFVU1pbGl0YXJ5IiwidmFscyI6W119LHsibiI6IkpQRGVmZW5jZUFydGljbGUiLCJ2YWxzIjpbXX0seyJuIjoiSlBOTCIsInZhbHMiOltdfSx7Im4iOiJMVkVVRHVhbFVzZSIsInZhbHMiOltdfSx7Im4iOiJMVkVVTWlsaXRhcnkiLCJ2YWxzIjpbXX0seyJuIjoiTFRFVUR1YWxVc2UiLCJ2YWxzIjpbXX0seyJuIjoiTFRFVU1pbGl0YXJ5IiwidmFscyI6W119LHsibiI6IkxVRVVEdWFsVXNlIiwidmFscyI6W119LHsibiI6IkxVRVVNaWxpdGFyeSIsInZhbHMiOltdfSx7Im4iOiJNVEVVRHVhbFVzZSIsInZhbHMiOltdfSx7Im4iOiJNVEVVTWlsaXRhcnkiLCJ2YWxzIjpbXX0seyJuIjoiTkxFVUR1YWxVc2UiLCJ2YWxzIjpbXX0seyJuIjoiTkxFVU1pbGl0YXJ5IiwidmFscyI6W119LHsibiI6Ik5PRVVEdWFsVXNlIiwidmFscyI6W119LHsibiI6Ik5PRVVNaWxpdGFyeSIsInZhbHMiOltdfSx7Im4iOiJOT05MIiwidmFscyI6W119LHsibiI6IlBMRVVEdWFsVXNlIiwidmFscyI6W119LHsibiI6IlBMRVVNaWxpdGFyeSIsInZhbHMiOltdfSx7Im4iOiJQTE5MIiwidmFscyI6W119LHsibiI6IlBURVVEdWFsVXNlIiwidmFscyI6W119LHsibiI6IlBURVVNaWxpdGFyeSIsInZhbHMiOltdfSx7Im4iOiJST0VVRHVhbFVzZSIsInZhbHMiOltdfSx7Im4iOiJST0VVTWlsaXRhcnkiLCJ2YWxzIjpbXX0seyJuIjoiU0FOTCIsInZhbHMiOltdfSx7Im4iOiJTR0R1YWxVc2UiLCJ2YWxzIjpbXX0seyJuIjoiU0dNaWxpdGFyeSIsInZhbHMiOltdfSx7Im4iOiJTR05MIiwidmFscyI6W119LHsibiI6IlNLRVVEdWFsVXNlIiwidmFscyI6W119LHsibiI6IlNLRVVNaWxpdGFyeSIsInZhbHMiOltdfSx7Im4iOiJTSUVVRHVhbFVzZSIsInZhbHMiOltdfSx7Im4iOiJTSUVVTWlsaXRhcnkiLCJ2YWxzIjpbXX0seyJuIjoiS1JOTCIsInZhbHMiOltdfSx7Im4iOiJFU0VVRHVhbFVzZSIsInZhbHMiOltdfSx7Im4iOiJFU0VVTWlsaXRhcnkiLCJ2YWxzIjpbXX0seyJuIjoiRVNOTCIsInZhbHMiOltdfSx7Im4iOiJTRUVVRHVhbFVzZSIsInZhbHMiOltdfSx7Im4iOiJTRUVVTWlsaXRhcnkiLCJ2YWxzIjpbXX0seyJuIjoiU0VOTCIsInZhbHMiOltdfSx7Im4iOiJUV0R1YWxVc2UiLCJ2YWxzIjpbXX0seyJuIjoiVFdNaWxpdGFyeSIsInZhbHMiOltdfSx7Im4iOiJVU0R1YWxVc2VFQVJDQ0wiLCJ2YWxzIjpbXX0seyJuIjoiVVNEdWFsVXNlRUFSOTkiLCJ2YWxzIjpbXX0seyJuIjoiVVNNaWxpdGFyeUVBUjYwMCIsInZhbHMiOltdfSx7Im4iOiJVU01pbGl0YXJ5SVRBUiIsInZhbHMiOltdfSx7Im4iOiJWaXN1YWxNYXJraW5nIiwidmFscyI6W3sidmFsdWUiOiJObyJ9XX1dfQ==</TitusMetadata>
</titus>
</file>

<file path=customXml/itemProps1.xml><?xml version="1.0" encoding="utf-8"?>
<ds:datastoreItem xmlns:ds="http://schemas.openxmlformats.org/officeDocument/2006/customXml" ds:itemID="{1D730F77-AFD6-4446-862F-2D5C344C987E}">
  <ds:schemaRefs>
    <ds:schemaRef ds:uri="http://schemas.titus.com/Titus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Customer</vt:lpstr>
      <vt:lpstr>Works</vt:lpstr>
      <vt:lpstr>Quote</vt:lpstr>
      <vt:lpstr>References</vt:lpstr>
      <vt:lpstr>Quote!Print_Area</vt:lpstr>
    </vt:vector>
  </TitlesOfParts>
  <Company>Rolls-Royce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 Justin (Aiimi) (RDN)</dc:creator>
  <cp:keywords>No Classification</cp:keywords>
  <cp:lastModifiedBy>Heath, Justin (Aiimi) (RDN)</cp:lastModifiedBy>
  <cp:lastPrinted>2026-04-28T12:44:05Z</cp:lastPrinted>
  <dcterms:created xsi:type="dcterms:W3CDTF">2026-04-28T07:17:24Z</dcterms:created>
  <dcterms:modified xsi:type="dcterms:W3CDTF">2026-04-28T12:45:02Z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4174813f-e8b2-4b0f-8a14-c19154577716</vt:lpwstr>
  </property>
  <property fmtid="{D5CDD505-2E9C-101B-9397-08002B2CF9AE}" pid="3" name="RRTITUS">
    <vt:lpwstr>No Classification</vt:lpwstr>
  </property>
  <property fmtid="{D5CDD505-2E9C-101B-9397-08002B2CF9AE}" pid="4" name="RetentionDecision">
    <vt:lpwstr>No requirement to retain</vt:lpwstr>
  </property>
  <property fmtid="{D5CDD505-2E9C-101B-9397-08002B2CF9AE}" pid="5" name="ExportControl">
    <vt:lpwstr>No</vt:lpwstr>
  </property>
  <property fmtid="{D5CDD505-2E9C-101B-9397-08002B2CF9AE}" pid="6" name="VisualMarking">
    <vt:lpwstr>No</vt:lpwstr>
  </property>
</Properties>
</file>